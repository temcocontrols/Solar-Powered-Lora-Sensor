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Energy Budget" sheetId="2" state="visible" r:id="rId2"/>
    <sheet name="Power Optimization" sheetId="3" state="visible" r:id="rId3"/>
    <sheet name="Firmware 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b val="1"/>
      <color rgb="00FFFFFF"/>
    </font>
    <font>
      <b val="1"/>
      <color rgb="00FFFFFF"/>
      <sz val="12"/>
    </font>
    <font>
      <color rgb="00000000"/>
    </font>
    <font>
      <b val="1"/>
      <color rgb="00000000"/>
    </font>
    <font>
      <i val="1"/>
      <sz val="9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8EEF7"/>
      </patternFill>
    </fill>
    <fill>
      <patternFill patternType="solid">
        <fgColor rgb="004A86C7"/>
      </patternFill>
    </fill>
    <fill>
      <patternFill patternType="solid">
        <fgColor rgb="00E69138"/>
      </patternFill>
    </fill>
    <fill>
      <patternFill patternType="solid">
        <fgColor rgb="006AA84F"/>
      </patternFill>
    </fill>
    <fill>
      <patternFill patternType="solid">
        <fgColor rgb="00CC0000"/>
      </patternFill>
    </fill>
    <fill>
      <patternFill patternType="solid">
        <fgColor rgb="009FC5E8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2" fontId="6" fillId="0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164" fontId="7" fillId="4" borderId="1" applyAlignment="1" pivotButton="0" quotePrefix="0" xfId="0">
      <alignment horizontal="left" vertical="top" wrapText="1"/>
    </xf>
    <xf numFmtId="165" fontId="7" fillId="4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left" vertical="top" wrapText="1"/>
    </xf>
    <xf numFmtId="1" fontId="7" fillId="4" borderId="1" applyAlignment="1" pivotButton="0" quotePrefix="0" xfId="0">
      <alignment horizontal="left" vertical="top" wrapText="1"/>
    </xf>
    <xf numFmtId="1" fontId="6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763000" cy="30613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222</row>
      <rowOff>0</rowOff>
    </from>
    <ext cx="8763000" cy="23555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atasheets/RA-08.pdf" TargetMode="External" Id="rId1" /><Relationship Type="http://schemas.openxmlformats.org/officeDocument/2006/relationships/hyperlink" Target="datasheets/BQ25505.pdf" TargetMode="External" Id="rId2" /><Relationship Type="http://schemas.openxmlformats.org/officeDocument/2006/relationships/hyperlink" Target="datasheets/TPS613221A.pdf" TargetMode="External" Id="rId3" /><Relationship Type="http://schemas.openxmlformats.org/officeDocument/2006/relationships/hyperlink" Target="datasheets/SGM2019-1.8.pdf" TargetMode="External" Id="rId4" /><Relationship Type="http://schemas.openxmlformats.org/officeDocument/2006/relationships/hyperlink" Target="datasheets/SHT40.pdf" TargetMode="External" Id="rId5" /><Relationship Type="http://schemas.openxmlformats.org/officeDocument/2006/relationships/hyperlink" Target="datasheets/SGP30.pdf" TargetMode="External" Id="rId6" /><Relationship Type="http://schemas.openxmlformats.org/officeDocument/2006/relationships/hyperlink" Target="datasheets/STCC4.pdf" TargetMode="External" Id="rId7" /><Relationship Type="http://schemas.openxmlformats.org/officeDocument/2006/relationships/hyperlink" Target="datasheets/BH1620FVC.pdf" TargetMode="External" Id="rId8" /><Relationship Type="http://schemas.openxmlformats.org/officeDocument/2006/relationships/hyperlink" Target="datasheets/SI2303CDS.pdf" TargetMode="External" Id="rId9" /><Relationship Type="http://schemas.openxmlformats.org/officeDocument/2006/relationships/hyperlink" Target="datasheets/DMG3402L-7.pdf" TargetMode="External" Id="rId10" /><Relationship Type="http://schemas.openxmlformats.org/officeDocument/2006/relationships/hyperlink" Target="datasheets/MMBT2222A.pdf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A3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5" customWidth="1" min="3" max="3"/>
    <col width="28" customWidth="1" min="4" max="4"/>
    <col width="21" customWidth="1" min="5" max="5"/>
    <col width="31" customWidth="1" min="6" max="6"/>
    <col width="19" customWidth="1" min="7" max="7"/>
    <col width="30" customWidth="1" min="8" max="8"/>
    <col width="45" customWidth="1" min="9" max="9"/>
  </cols>
  <sheetData>
    <row r="1" ht="28" customHeight="1">
      <c r="A1" s="1" t="inlineStr">
        <is>
          <t>Solar Sensor Schematic Rev2 - Bill of Materials</t>
        </is>
      </c>
    </row>
    <row r="2" ht="22" customHeight="1">
      <c r="A2" t="inlineStr">
        <is>
          <t>Item</t>
        </is>
      </c>
      <c r="B2" t="inlineStr">
        <is>
          <t>Reference Designators</t>
        </is>
      </c>
      <c r="C2" t="inlineStr">
        <is>
          <t>Qty</t>
        </is>
      </c>
      <c r="D2" t="inlineStr">
        <is>
          <t>Value</t>
        </is>
      </c>
      <c r="E2" t="inlineStr">
        <is>
          <t>Footprint</t>
        </is>
      </c>
      <c r="F2" t="inlineStr">
        <is>
          <t>Description</t>
        </is>
      </c>
      <c r="G2" t="inlineStr">
        <is>
          <t>Manufacturer</t>
        </is>
      </c>
      <c r="H2" t="inlineStr">
        <is>
          <t>MPN</t>
        </is>
      </c>
      <c r="I2" t="inlineStr">
        <is>
          <t>Notes</t>
        </is>
      </c>
      <c r="J2" t="inlineStr">
        <is>
          <t>Datasheet</t>
        </is>
      </c>
    </row>
    <row r="3">
      <c r="A3" t="inlineStr">
        <is>
          <t>1</t>
        </is>
      </c>
      <c r="B3" t="inlineStr">
        <is>
          <t>MOD1</t>
        </is>
      </c>
      <c r="C3" t="inlineStr">
        <is>
          <t>1</t>
        </is>
      </c>
      <c r="D3" t="inlineStr">
        <is>
          <t>Ra-08</t>
        </is>
      </c>
      <c r="E3" t="inlineStr">
        <is>
          <t>Module</t>
        </is>
      </c>
      <c r="F3" t="inlineStr">
        <is>
          <t>LoRaWAN module ASR6601</t>
        </is>
      </c>
      <c r="G3" t="inlineStr">
        <is>
          <t>Ai-Thinker</t>
        </is>
      </c>
      <c r="H3" t="inlineStr">
        <is>
          <t>RA-08</t>
        </is>
      </c>
      <c r="I3" t="inlineStr">
        <is>
          <t>Main radio/MCU module</t>
        </is>
      </c>
      <c r="J3" s="26" t="inlineStr">
        <is>
          <t>RA-08.pdf</t>
        </is>
      </c>
    </row>
    <row r="4">
      <c r="A4" t="inlineStr">
        <is>
          <t>2</t>
        </is>
      </c>
      <c r="B4" t="inlineStr">
        <is>
          <t>U2</t>
        </is>
      </c>
      <c r="C4" t="inlineStr">
        <is>
          <t>1</t>
        </is>
      </c>
      <c r="D4" t="inlineStr">
        <is>
          <t>BQ25505</t>
        </is>
      </c>
      <c r="E4" t="inlineStr">
        <is>
          <t>QFN-24</t>
        </is>
      </c>
      <c r="F4" t="inlineStr">
        <is>
          <t>Energy harvester PMIC</t>
        </is>
      </c>
      <c r="G4" t="inlineStr">
        <is>
          <t>Texas Instruments</t>
        </is>
      </c>
      <c r="H4" t="inlineStr">
        <is>
          <t>BQ25505</t>
        </is>
      </c>
      <c r="I4" t="inlineStr">
        <is>
          <t>MPPT solar charger</t>
        </is>
      </c>
      <c r="J4" s="26" t="inlineStr">
        <is>
          <t>BQ25505.pdf</t>
        </is>
      </c>
    </row>
    <row r="5">
      <c r="A5" t="inlineStr">
        <is>
          <t>3</t>
        </is>
      </c>
      <c r="B5" t="inlineStr">
        <is>
          <t>U1</t>
        </is>
      </c>
      <c r="C5" t="inlineStr">
        <is>
          <t>1</t>
        </is>
      </c>
      <c r="D5" t="inlineStr">
        <is>
          <t>TPS613221A</t>
        </is>
      </c>
      <c r="E5" t="inlineStr">
        <is>
          <t>SOT-23-5</t>
        </is>
      </c>
      <c r="F5" t="inlineStr">
        <is>
          <t>Boost converter 3.3V</t>
        </is>
      </c>
      <c r="G5" t="inlineStr">
        <is>
          <t>Texas Instruments</t>
        </is>
      </c>
      <c r="H5" t="inlineStr">
        <is>
          <t>TPS613221A</t>
        </is>
      </c>
      <c r="I5" t="inlineStr">
        <is>
          <t>Output for RA-08 VCC</t>
        </is>
      </c>
      <c r="J5" s="26" t="inlineStr">
        <is>
          <t>TPS613221A.pdf</t>
        </is>
      </c>
    </row>
    <row r="6">
      <c r="A6" t="inlineStr">
        <is>
          <t>4</t>
        </is>
      </c>
      <c r="B6" t="inlineStr">
        <is>
          <t>U4</t>
        </is>
      </c>
      <c r="C6" t="inlineStr">
        <is>
          <t>1</t>
        </is>
      </c>
      <c r="D6" t="inlineStr">
        <is>
          <t>SGM2019-1.8YN5G/TR</t>
        </is>
      </c>
      <c r="E6" t="inlineStr">
        <is>
          <t>SOT-23-5</t>
        </is>
      </c>
      <c r="F6" t="inlineStr">
        <is>
          <t>1.8V LDO regulator</t>
        </is>
      </c>
      <c r="G6" t="inlineStr">
        <is>
          <t>SG Micro</t>
        </is>
      </c>
      <c r="H6" t="inlineStr">
        <is>
          <t>SGM2019-1.8YN5G/TR</t>
        </is>
      </c>
      <c r="I6" t="inlineStr">
        <is>
          <t>Sensor 1.8V rail</t>
        </is>
      </c>
      <c r="J6" s="26" t="inlineStr">
        <is>
          <t>SGM2019-1.8.pdf</t>
        </is>
      </c>
    </row>
    <row r="7">
      <c r="A7" t="inlineStr">
        <is>
          <t>5</t>
        </is>
      </c>
      <c r="B7" t="inlineStr">
        <is>
          <t>U5;U7</t>
        </is>
      </c>
      <c r="C7" t="inlineStr">
        <is>
          <t>2</t>
        </is>
      </c>
      <c r="D7" t="inlineStr">
        <is>
          <t>SHT40</t>
        </is>
      </c>
      <c r="E7" t="inlineStr">
        <is>
          <t>DFN-4</t>
        </is>
      </c>
      <c r="F7" t="inlineStr">
        <is>
          <t>Temperature/humidity sensor</t>
        </is>
      </c>
      <c r="G7" t="inlineStr">
        <is>
          <t>Sensirion</t>
        </is>
      </c>
      <c r="H7" t="inlineStr">
        <is>
          <t>SHT40-AD1B-R2</t>
        </is>
      </c>
      <c r="I7" t="inlineStr">
        <is>
          <t>Two footprints on schematic — populate one unless intentional</t>
        </is>
      </c>
      <c r="J7" s="26" t="inlineStr">
        <is>
          <t>SHT40.pdf</t>
        </is>
      </c>
    </row>
    <row r="8">
      <c r="A8" t="inlineStr">
        <is>
          <t>6</t>
        </is>
      </c>
      <c r="B8" t="inlineStr">
        <is>
          <t>U3</t>
        </is>
      </c>
      <c r="C8" t="inlineStr">
        <is>
          <t>1</t>
        </is>
      </c>
      <c r="D8" t="inlineStr">
        <is>
          <t>SGP30-2.5K</t>
        </is>
      </c>
      <c r="E8" t="inlineStr">
        <is>
          <t>DIL-6</t>
        </is>
      </c>
      <c r="F8" t="inlineStr">
        <is>
          <t>TVOC/eCO2 sensor</t>
        </is>
      </c>
      <c r="G8" t="inlineStr">
        <is>
          <t>Sensirion</t>
        </is>
      </c>
      <c r="H8" t="inlineStr">
        <is>
          <t>SGP30-2.5K</t>
        </is>
      </c>
      <c r="I8" t="inlineStr">
        <is>
          <t>Optional TVOC section</t>
        </is>
      </c>
      <c r="J8" s="26" t="inlineStr">
        <is>
          <t>SGP30.pdf</t>
        </is>
      </c>
    </row>
    <row r="9">
      <c r="A9" t="inlineStr">
        <is>
          <t>7</t>
        </is>
      </c>
      <c r="B9" t="inlineStr">
        <is>
          <t>U6</t>
        </is>
      </c>
      <c r="C9" t="inlineStr">
        <is>
          <t>1</t>
        </is>
      </c>
      <c r="D9" t="inlineStr">
        <is>
          <t>STCC4_CO2_SENSOR</t>
        </is>
      </c>
      <c r="E9" t="inlineStr">
        <is>
          <t>Custom</t>
        </is>
      </c>
      <c r="F9" t="inlineStr">
        <is>
          <t>CO2 sensor module</t>
        </is>
      </c>
      <c r="G9" t="inlineStr">
        <is>
          <t>Sensirion</t>
        </is>
      </c>
      <c r="H9" t="inlineStr">
        <is>
          <t>SCD41 or per STCC4 footprint</t>
        </is>
      </c>
      <c r="I9" t="inlineStr">
        <is>
          <t>Verify exact CO2 part against library/footprint</t>
        </is>
      </c>
      <c r="J9" s="26" t="inlineStr">
        <is>
          <t>STCC4.pdf</t>
        </is>
      </c>
    </row>
    <row r="10">
      <c r="A10" t="inlineStr">
        <is>
          <t>8</t>
        </is>
      </c>
      <c r="B10" t="inlineStr">
        <is>
          <t>U8</t>
        </is>
      </c>
      <c r="C10" t="inlineStr">
        <is>
          <t>1</t>
        </is>
      </c>
      <c r="D10" t="inlineStr">
        <is>
          <t>GC2</t>
        </is>
      </c>
      <c r="E10" t="inlineStr">
        <is>
          <t>Custom</t>
        </is>
      </c>
      <c r="F10" t="inlineStr">
        <is>
          <t>Light sensor</t>
        </is>
      </c>
      <c r="G10" t="inlineStr">
        <is>
          <t>—</t>
        </is>
      </c>
      <c r="H10" t="inlineStr">
        <is>
          <t>GC2</t>
        </is>
      </c>
      <c r="I10" t="inlineStr">
        <is>
          <t>Schematic lists GC2; firmware targets BH1620FVC</t>
        </is>
      </c>
      <c r="J10" s="26" t="inlineStr">
        <is>
          <t>BH1620FVC.pdf</t>
        </is>
      </c>
    </row>
    <row r="11">
      <c r="A11" t="inlineStr">
        <is>
          <t>9</t>
        </is>
      </c>
      <c r="B11" t="inlineStr">
        <is>
          <t>L2</t>
        </is>
      </c>
      <c r="C11" t="inlineStr">
        <is>
          <t>1</t>
        </is>
      </c>
      <c r="D11" t="inlineStr">
        <is>
          <t>22uH 1A</t>
        </is>
      </c>
      <c r="E11" t="inlineStr">
        <is>
          <t>Inductor</t>
        </is>
      </c>
      <c r="F11" t="inlineStr">
        <is>
          <t>Boost inductor for BQ25505</t>
        </is>
      </c>
      <c r="G11" t="inlineStr">
        <is>
          <t>—</t>
        </is>
      </c>
      <c r="H11" t="inlineStr">
        <is>
          <t>22uH 1A min</t>
        </is>
      </c>
      <c r="I11" t="inlineStr">
        <is>
          <t>Harvesting boost</t>
        </is>
      </c>
    </row>
    <row r="12">
      <c r="A12" t="inlineStr">
        <is>
          <t>10</t>
        </is>
      </c>
      <c r="B12" t="inlineStr">
        <is>
          <t>L1</t>
        </is>
      </c>
      <c r="C12" t="inlineStr">
        <is>
          <t>1</t>
        </is>
      </c>
      <c r="D12" t="inlineStr">
        <is>
          <t>4.7uH</t>
        </is>
      </c>
      <c r="E12" t="inlineStr">
        <is>
          <t>Inductor</t>
        </is>
      </c>
      <c r="F12" t="inlineStr">
        <is>
          <t>Boost inductor for TPS613221A</t>
        </is>
      </c>
      <c r="G12" t="inlineStr">
        <is>
          <t>—</t>
        </is>
      </c>
      <c r="H12" t="inlineStr">
        <is>
          <t>4.7uH</t>
        </is>
      </c>
      <c r="I12" t="inlineStr">
        <is>
          <t>Step-up converter</t>
        </is>
      </c>
    </row>
    <row r="13">
      <c r="A13" t="inlineStr">
        <is>
          <t>11</t>
        </is>
      </c>
      <c r="B13" t="inlineStr">
        <is>
          <t>C3</t>
        </is>
      </c>
      <c r="C13" t="inlineStr">
        <is>
          <t>1</t>
        </is>
      </c>
      <c r="D13" t="inlineStr">
        <is>
          <t>0.22F 5.5V</t>
        </is>
      </c>
      <c r="E13" t="inlineStr">
        <is>
          <t>Horizontal supercap</t>
        </is>
      </c>
      <c r="F13" t="inlineStr">
        <is>
          <t>Supercapacitor storage</t>
        </is>
      </c>
      <c r="G13" t="inlineStr">
        <is>
          <t>—</t>
        </is>
      </c>
      <c r="H13" t="inlineStr">
        <is>
          <t>0.22F 5.5V</t>
        </is>
      </c>
      <c r="I13" t="inlineStr">
        <is>
          <t>Also J2/J9 for external cap</t>
        </is>
      </c>
    </row>
    <row r="14">
      <c r="A14" t="inlineStr">
        <is>
          <t>12</t>
        </is>
      </c>
      <c r="B14" t="inlineStr">
        <is>
          <t>C6</t>
        </is>
      </c>
      <c r="C14" t="inlineStr">
        <is>
          <t>1</t>
        </is>
      </c>
      <c r="D14" t="inlineStr">
        <is>
          <t>22uF 25V X5R</t>
        </is>
      </c>
      <c r="E14" t="inlineStr">
        <is>
          <t>0805</t>
        </is>
      </c>
      <c r="F14" t="inlineStr">
        <is>
          <t>Bulk cap RA-08 supply</t>
        </is>
      </c>
      <c r="G14" t="inlineStr">
        <is>
          <t>—</t>
        </is>
      </c>
      <c r="H14" t="inlineStr">
        <is>
          <t>22uF 25V 0805 X5R</t>
        </is>
      </c>
    </row>
    <row r="15">
      <c r="A15" t="inlineStr">
        <is>
          <t>13</t>
        </is>
      </c>
      <c r="B15" t="inlineStr">
        <is>
          <t>C7</t>
        </is>
      </c>
      <c r="C15" t="inlineStr">
        <is>
          <t>1</t>
        </is>
      </c>
      <c r="D15" t="inlineStr">
        <is>
          <t>10uF 25V</t>
        </is>
      </c>
      <c r="E15" t="inlineStr">
        <is>
          <t>—</t>
        </is>
      </c>
      <c r="F15" t="inlineStr">
        <is>
          <t>Bulk cap</t>
        </is>
      </c>
      <c r="G15" t="inlineStr">
        <is>
          <t>—</t>
        </is>
      </c>
      <c r="H15" t="inlineStr">
        <is>
          <t>10uF 25V</t>
        </is>
      </c>
    </row>
    <row r="16">
      <c r="A16" t="inlineStr">
        <is>
          <t>14</t>
        </is>
      </c>
      <c r="B16" t="inlineStr">
        <is>
          <t>C18</t>
        </is>
      </c>
      <c r="C16" t="inlineStr">
        <is>
          <t>1</t>
        </is>
      </c>
      <c r="D16" t="inlineStr">
        <is>
          <t>10uF 16V</t>
        </is>
      </c>
      <c r="E16" t="inlineStr">
        <is>
          <t>0603</t>
        </is>
      </c>
      <c r="F16" t="inlineStr">
        <is>
          <t>Decoupling</t>
        </is>
      </c>
      <c r="G16" t="inlineStr">
        <is>
          <t>—</t>
        </is>
      </c>
      <c r="H16" t="inlineStr">
        <is>
          <t>10uF 16V 0603</t>
        </is>
      </c>
    </row>
    <row r="17">
      <c r="A17" t="inlineStr">
        <is>
          <t>15</t>
        </is>
      </c>
      <c r="B17" t="inlineStr">
        <is>
          <t>C2;C5</t>
        </is>
      </c>
      <c r="C17" t="inlineStr">
        <is>
          <t>2</t>
        </is>
      </c>
      <c r="D17" t="inlineStr">
        <is>
          <t>4.7uF 50V</t>
        </is>
      </c>
      <c r="E17" t="inlineStr">
        <is>
          <t>0805</t>
        </is>
      </c>
      <c r="F17" t="inlineStr">
        <is>
          <t>Power decoupling</t>
        </is>
      </c>
      <c r="G17" t="inlineStr">
        <is>
          <t>—</t>
        </is>
      </c>
      <c r="H17" t="inlineStr">
        <is>
          <t>4.7uF 50V 0805</t>
        </is>
      </c>
    </row>
    <row r="18">
      <c r="A18" t="inlineStr">
        <is>
          <t>16</t>
        </is>
      </c>
      <c r="B18" t="inlineStr">
        <is>
          <t>C9;C17</t>
        </is>
      </c>
      <c r="C18" t="inlineStr">
        <is>
          <t>2</t>
        </is>
      </c>
      <c r="D18" t="inlineStr">
        <is>
          <t>1uF 50V</t>
        </is>
      </c>
      <c r="E18" t="inlineStr">
        <is>
          <t>0603</t>
        </is>
      </c>
      <c r="F18" t="inlineStr">
        <is>
          <t>Decoupling</t>
        </is>
      </c>
      <c r="G18" t="inlineStr">
        <is>
          <t>—</t>
        </is>
      </c>
      <c r="H18" t="inlineStr">
        <is>
          <t>1uF 50V 0603</t>
        </is>
      </c>
    </row>
    <row r="19">
      <c r="A19" t="inlineStr">
        <is>
          <t>17</t>
        </is>
      </c>
      <c r="B19" t="inlineStr">
        <is>
          <t>C8;C11;C12;C13;C14;C15;C16</t>
        </is>
      </c>
      <c r="C19" t="inlineStr">
        <is>
          <t>7</t>
        </is>
      </c>
      <c r="D19" t="inlineStr">
        <is>
          <t>0.1uF 50V</t>
        </is>
      </c>
      <c r="E19" t="inlineStr">
        <is>
          <t>0603</t>
        </is>
      </c>
      <c r="F19" t="inlineStr">
        <is>
          <t>Decoupling</t>
        </is>
      </c>
      <c r="G19" t="inlineStr">
        <is>
          <t>—</t>
        </is>
      </c>
      <c r="H19" t="inlineStr">
        <is>
          <t>0.1uF 50V 0603</t>
        </is>
      </c>
    </row>
    <row r="20">
      <c r="A20" t="inlineStr">
        <is>
          <t>18</t>
        </is>
      </c>
      <c r="B20" t="inlineStr">
        <is>
          <t>C1</t>
        </is>
      </c>
      <c r="C20" t="inlineStr">
        <is>
          <t>1</t>
        </is>
      </c>
      <c r="D20" t="inlineStr">
        <is>
          <t>0.01uF 50V</t>
        </is>
      </c>
      <c r="E20" t="inlineStr">
        <is>
          <t>0805</t>
        </is>
      </c>
      <c r="F20" t="inlineStr">
        <is>
          <t>HF decoupling</t>
        </is>
      </c>
      <c r="G20" t="inlineStr">
        <is>
          <t>—</t>
        </is>
      </c>
      <c r="H20" t="inlineStr">
        <is>
          <t>0.01uF 50V 0805</t>
        </is>
      </c>
    </row>
    <row r="21">
      <c r="A21" t="inlineStr">
        <is>
          <t>19</t>
        </is>
      </c>
      <c r="B21" t="inlineStr">
        <is>
          <t>C10</t>
        </is>
      </c>
      <c r="C21" t="inlineStr">
        <is>
          <t>1</t>
        </is>
      </c>
      <c r="D21" t="inlineStr">
        <is>
          <t>0.01uF 50V</t>
        </is>
      </c>
      <c r="E21" t="inlineStr">
        <is>
          <t>0603</t>
        </is>
      </c>
      <c r="F21" t="inlineStr">
        <is>
          <t>HF decoupling</t>
        </is>
      </c>
      <c r="G21" t="inlineStr">
        <is>
          <t>—</t>
        </is>
      </c>
      <c r="H21" t="inlineStr">
        <is>
          <t>0.01uF 50V 0603</t>
        </is>
      </c>
    </row>
    <row r="22">
      <c r="A22" t="inlineStr">
        <is>
          <t>20</t>
        </is>
      </c>
      <c r="B22" t="inlineStr">
        <is>
          <t>C4</t>
        </is>
      </c>
      <c r="C22" t="inlineStr">
        <is>
          <t>1</t>
        </is>
      </c>
      <c r="D22" t="inlineStr">
        <is>
          <t>10nF</t>
        </is>
      </c>
      <c r="E22" t="inlineStr">
        <is>
          <t>0805</t>
        </is>
      </c>
      <c r="F22" t="inlineStr">
        <is>
          <t>Filter/decoupling</t>
        </is>
      </c>
      <c r="G22" t="inlineStr">
        <is>
          <t>—</t>
        </is>
      </c>
      <c r="H22" t="inlineStr">
        <is>
          <t>10nF 0805</t>
        </is>
      </c>
    </row>
    <row r="23">
      <c r="A23" t="inlineStr">
        <is>
          <t>21</t>
        </is>
      </c>
      <c r="B23" t="inlineStr">
        <is>
          <t>R1;R2;R3;R4;R5;R6;R7;R10;R11;R12;R13;R14;R15;R16;R18;R19;R21;R22;R24;R25</t>
        </is>
      </c>
      <c r="C23" t="inlineStr">
        <is>
          <t>20</t>
        </is>
      </c>
      <c r="D23" t="inlineStr">
        <is>
          <t>10K</t>
        </is>
      </c>
      <c r="E23" t="inlineStr">
        <is>
          <t>0603</t>
        </is>
      </c>
      <c r="F23" t="inlineStr">
        <is>
          <t>Resistor</t>
        </is>
      </c>
      <c r="G23" t="inlineStr">
        <is>
          <t>—</t>
        </is>
      </c>
      <c r="H23" t="inlineStr">
        <is>
          <t>10K 0603</t>
        </is>
      </c>
    </row>
    <row r="24">
      <c r="A24" t="inlineStr">
        <is>
          <t>22</t>
        </is>
      </c>
      <c r="B24" t="inlineStr">
        <is>
          <t>R8;R9</t>
        </is>
      </c>
      <c r="C24" t="inlineStr">
        <is>
          <t>2</t>
        </is>
      </c>
      <c r="D24" t="inlineStr">
        <is>
          <t>2K</t>
        </is>
      </c>
      <c r="E24" t="inlineStr">
        <is>
          <t>0603</t>
        </is>
      </c>
      <c r="F24" t="inlineStr">
        <is>
          <t>Resistor</t>
        </is>
      </c>
      <c r="G24" t="inlineStr">
        <is>
          <t>—</t>
        </is>
      </c>
      <c r="H24" t="inlineStr">
        <is>
          <t>2K 0603</t>
        </is>
      </c>
    </row>
    <row r="25">
      <c r="A25" t="inlineStr">
        <is>
          <t>23</t>
        </is>
      </c>
      <c r="B25" t="inlineStr">
        <is>
          <t>R17;R20;R23;R26</t>
        </is>
      </c>
      <c r="C25" t="inlineStr">
        <is>
          <t>4</t>
        </is>
      </c>
      <c r="D25" t="inlineStr">
        <is>
          <t>5.1K</t>
        </is>
      </c>
      <c r="E25" t="inlineStr">
        <is>
          <t>0603</t>
        </is>
      </c>
      <c r="F25" t="inlineStr">
        <is>
          <t>I2C pull-up / bias</t>
        </is>
      </c>
      <c r="G25" t="inlineStr">
        <is>
          <t>—</t>
        </is>
      </c>
      <c r="H25" t="inlineStr">
        <is>
          <t>5.1K 0603</t>
        </is>
      </c>
    </row>
    <row r="26">
      <c r="A26" t="inlineStr">
        <is>
          <t>24</t>
        </is>
      </c>
      <c r="B26" t="inlineStr">
        <is>
          <t>ROV1;ROK1</t>
        </is>
      </c>
      <c r="C26" t="inlineStr">
        <is>
          <t>2</t>
        </is>
      </c>
      <c r="D26" t="inlineStr">
        <is>
          <t>5.62M</t>
        </is>
      </c>
      <c r="E26" t="inlineStr">
        <is>
          <t>0805</t>
        </is>
      </c>
      <c r="F26" t="inlineStr">
        <is>
          <t>BQ25505 divider resistor</t>
        </is>
      </c>
      <c r="G26" t="inlineStr">
        <is>
          <t>—</t>
        </is>
      </c>
      <c r="H26" t="inlineStr">
        <is>
          <t>5.62M 0805</t>
        </is>
      </c>
      <c r="I26" t="inlineStr">
        <is>
          <t>Harvesting threshold programming</t>
        </is>
      </c>
    </row>
    <row r="27">
      <c r="A27" t="inlineStr">
        <is>
          <t>25</t>
        </is>
      </c>
      <c r="B27" t="inlineStr">
        <is>
          <t>ROK2</t>
        </is>
      </c>
      <c r="C27" t="inlineStr">
        <is>
          <t>1</t>
        </is>
      </c>
      <c r="D27" t="inlineStr">
        <is>
          <t>5.49M</t>
        </is>
      </c>
      <c r="E27" t="inlineStr">
        <is>
          <t>0805</t>
        </is>
      </c>
      <c r="F27" t="inlineStr">
        <is>
          <t>BQ25505 divider resistor</t>
        </is>
      </c>
      <c r="G27" t="inlineStr">
        <is>
          <t>—</t>
        </is>
      </c>
      <c r="H27" t="inlineStr">
        <is>
          <t>5.49M 0805</t>
        </is>
      </c>
    </row>
    <row r="28">
      <c r="A28" t="inlineStr">
        <is>
          <t>26</t>
        </is>
      </c>
      <c r="B28" t="inlineStr">
        <is>
          <t>ROV2</t>
        </is>
      </c>
      <c r="C28" t="inlineStr">
        <is>
          <t>1</t>
        </is>
      </c>
      <c r="D28" t="inlineStr">
        <is>
          <t>7.32M</t>
        </is>
      </c>
      <c r="E28" t="inlineStr">
        <is>
          <t>0805</t>
        </is>
      </c>
      <c r="F28" t="inlineStr">
        <is>
          <t>BQ25505 OV resistor</t>
        </is>
      </c>
      <c r="G28" t="inlineStr">
        <is>
          <t>—</t>
        </is>
      </c>
      <c r="H28" t="inlineStr">
        <is>
          <t>7.32M 0805</t>
        </is>
      </c>
    </row>
    <row r="29">
      <c r="A29" t="inlineStr">
        <is>
          <t>27</t>
        </is>
      </c>
      <c r="B29" t="inlineStr">
        <is>
          <t>ROK3</t>
        </is>
      </c>
      <c r="C29" t="inlineStr">
        <is>
          <t>1</t>
        </is>
      </c>
      <c r="D29" t="inlineStr">
        <is>
          <t>1.87M</t>
        </is>
      </c>
      <c r="E29" t="inlineStr">
        <is>
          <t>0805</t>
        </is>
      </c>
      <c r="F29" t="inlineStr">
        <is>
          <t>BQ25505 OK resistor</t>
        </is>
      </c>
      <c r="G29" t="inlineStr">
        <is>
          <t>—</t>
        </is>
      </c>
      <c r="H29" t="inlineStr">
        <is>
          <t>1.87M 0805</t>
        </is>
      </c>
    </row>
    <row r="30">
      <c r="A30" t="inlineStr">
        <is>
          <t>28</t>
        </is>
      </c>
      <c r="B30" t="inlineStr">
        <is>
          <t>Q1;Q2;Q3;Q4;Q7;Q8;Q10;Q12;Q14;Q16</t>
        </is>
      </c>
      <c r="C30" t="inlineStr">
        <is>
          <t>10</t>
        </is>
      </c>
      <c r="D30" t="inlineStr">
        <is>
          <t>SI2303CDS</t>
        </is>
      </c>
      <c r="E30" t="inlineStr">
        <is>
          <t>SOT-23</t>
        </is>
      </c>
      <c r="F30" t="inlineStr">
        <is>
          <t>N-channel MOSFET</t>
        </is>
      </c>
      <c r="G30" t="inlineStr">
        <is>
          <t>Vishay/SI</t>
        </is>
      </c>
      <c r="H30" t="inlineStr">
        <is>
          <t>SI2303CDS</t>
        </is>
      </c>
      <c r="I30" t="inlineStr">
        <is>
          <t>Sensor/load switches</t>
        </is>
      </c>
      <c r="J30" s="26" t="inlineStr">
        <is>
          <t>SI2303CDS.pdf</t>
        </is>
      </c>
    </row>
    <row r="31">
      <c r="A31" t="inlineStr">
        <is>
          <t>29</t>
        </is>
      </c>
      <c r="B31" t="inlineStr">
        <is>
          <t>Q5;Q6</t>
        </is>
      </c>
      <c r="C31" t="inlineStr">
        <is>
          <t>2</t>
        </is>
      </c>
      <c r="D31" t="inlineStr">
        <is>
          <t>DMG3402L-7</t>
        </is>
      </c>
      <c r="E31" t="inlineStr">
        <is>
          <t>SOT-23</t>
        </is>
      </c>
      <c r="F31" t="inlineStr">
        <is>
          <t>P-channel MOSFET</t>
        </is>
      </c>
      <c r="G31" t="inlineStr">
        <is>
          <t>Diodes Inc</t>
        </is>
      </c>
      <c r="H31" t="inlineStr">
        <is>
          <t>DMG3402L-7</t>
        </is>
      </c>
      <c r="I31" t="inlineStr">
        <is>
          <t>Power path switching</t>
        </is>
      </c>
      <c r="J31" s="26" t="inlineStr">
        <is>
          <t>DMG3402L-7.pdf</t>
        </is>
      </c>
    </row>
    <row r="32">
      <c r="A32" t="inlineStr">
        <is>
          <t>30</t>
        </is>
      </c>
      <c r="B32" t="inlineStr">
        <is>
          <t>Q11;Q13;Q15;Q17</t>
        </is>
      </c>
      <c r="C32" t="inlineStr">
        <is>
          <t>4</t>
        </is>
      </c>
      <c r="D32" t="inlineStr">
        <is>
          <t>MMBT2222A</t>
        </is>
      </c>
      <c r="E32" t="inlineStr">
        <is>
          <t>SOT-23</t>
        </is>
      </c>
      <c r="F32" t="inlineStr">
        <is>
          <t>NPN transistor</t>
        </is>
      </c>
      <c r="G32" t="inlineStr">
        <is>
          <t>—</t>
        </is>
      </c>
      <c r="H32" t="inlineStr">
        <is>
          <t>MMBT2222A</t>
        </is>
      </c>
      <c r="I32" t="inlineStr">
        <is>
          <t>Low-side / enable drivers</t>
        </is>
      </c>
      <c r="J32" s="26" t="inlineStr">
        <is>
          <t>MMBT2222A.pdf</t>
        </is>
      </c>
    </row>
    <row r="33">
      <c r="A33" t="inlineStr">
        <is>
          <t>31</t>
        </is>
      </c>
      <c r="B33" t="inlineStr">
        <is>
          <t>J1</t>
        </is>
      </c>
      <c r="C33" t="inlineStr">
        <is>
          <t>1</t>
        </is>
      </c>
      <c r="D33" t="inlineStr">
        <is>
          <t>Header 2-pin 2.54mm XH 180</t>
        </is>
      </c>
      <c r="E33" t="inlineStr">
        <is>
          <t>Solar connector</t>
        </is>
      </c>
      <c r="F33" t="inlineStr">
        <is>
          <t>Solar panel input</t>
        </is>
      </c>
      <c r="G33" t="inlineStr">
        <is>
          <t>—</t>
        </is>
      </c>
      <c r="H33" t="inlineStr">
        <is>
          <t>2.54mm XH 180</t>
        </is>
      </c>
      <c r="I33" t="inlineStr">
        <is>
          <t>Solar mounting hole nearby</t>
        </is>
      </c>
    </row>
    <row r="34">
      <c r="A34" t="inlineStr">
        <is>
          <t>32</t>
        </is>
      </c>
      <c r="B34" t="inlineStr">
        <is>
          <t>J2;J9</t>
        </is>
      </c>
      <c r="C34" t="inlineStr">
        <is>
          <t>2</t>
        </is>
      </c>
      <c r="D34" t="inlineStr">
        <is>
          <t>Header 2-pin 2.54mm XH 180</t>
        </is>
      </c>
      <c r="E34" t="inlineStr">
        <is>
          <t>Connector</t>
        </is>
      </c>
      <c r="F34" t="inlineStr">
        <is>
          <t>Big capacitor connection</t>
        </is>
      </c>
      <c r="G34" t="inlineStr">
        <is>
          <t>—</t>
        </is>
      </c>
      <c r="H34" t="inlineStr">
        <is>
          <t>2.54mm XH 180</t>
        </is>
      </c>
    </row>
    <row r="35">
      <c r="A35" t="inlineStr">
        <is>
          <t>33</t>
        </is>
      </c>
      <c r="B35" t="inlineStr">
        <is>
          <t>J8</t>
        </is>
      </c>
      <c r="C35" t="inlineStr">
        <is>
          <t>1</t>
        </is>
      </c>
      <c r="D35" t="inlineStr">
        <is>
          <t>Header 2-pin 2.54mm XH 180</t>
        </is>
      </c>
      <c r="E35" t="inlineStr">
        <is>
          <t>Connector</t>
        </is>
      </c>
      <c r="F35" t="inlineStr">
        <is>
          <t>Rechargeable battery</t>
        </is>
      </c>
      <c r="G35" t="inlineStr">
        <is>
          <t>—</t>
        </is>
      </c>
      <c r="H35" t="inlineStr">
        <is>
          <t>2.54mm XH 180</t>
        </is>
      </c>
    </row>
    <row r="36">
      <c r="A36" t="inlineStr">
        <is>
          <t>34</t>
        </is>
      </c>
      <c r="B36" t="inlineStr">
        <is>
          <t>J3;J5</t>
        </is>
      </c>
      <c r="C36" t="inlineStr">
        <is>
          <t>2</t>
        </is>
      </c>
      <c r="D36" t="inlineStr">
        <is>
          <t>Header 2-pin 2.54mm 180</t>
        </is>
      </c>
      <c r="E36" t="inlineStr">
        <is>
          <t>Connector</t>
        </is>
      </c>
      <c r="F36" t="inlineStr">
        <is>
          <t>FW load strap headers</t>
        </is>
      </c>
      <c r="G36" t="inlineStr">
        <is>
          <t>—</t>
        </is>
      </c>
      <c r="H36" t="inlineStr">
        <is>
          <t>2.54mm 180</t>
        </is>
      </c>
      <c r="I36" t="inlineStr">
        <is>
          <t>Short during firmware programming</t>
        </is>
      </c>
    </row>
    <row r="37">
      <c r="A37" t="inlineStr">
        <is>
          <t>35</t>
        </is>
      </c>
      <c r="B37" t="inlineStr">
        <is>
          <t>J4;J7</t>
        </is>
      </c>
      <c r="C37" t="inlineStr">
        <is>
          <t>2</t>
        </is>
      </c>
      <c r="D37" t="inlineStr">
        <is>
          <t>Header 4-pin 2.54mm 180</t>
        </is>
      </c>
      <c r="E37" t="inlineStr">
        <is>
          <t>Connector</t>
        </is>
      </c>
      <c r="F37" t="inlineStr">
        <is>
          <t>Debug/firmware UART</t>
        </is>
      </c>
      <c r="G37" t="inlineStr">
        <is>
          <t>—</t>
        </is>
      </c>
      <c r="H37" t="inlineStr">
        <is>
          <t>2.54mm 180</t>
        </is>
      </c>
      <c r="I37" t="inlineStr">
        <is>
          <t>J4 noted as firmware connector</t>
        </is>
      </c>
    </row>
    <row r="38">
      <c r="A38" t="inlineStr">
        <is>
          <t>36</t>
        </is>
      </c>
      <c r="B38" t="inlineStr">
        <is>
          <t>—</t>
        </is>
      </c>
      <c r="C38" t="inlineStr">
        <is>
          <t>1</t>
        </is>
      </c>
      <c r="D38" t="inlineStr">
        <is>
          <t>Solar panel</t>
        </is>
      </c>
      <c r="E38" t="inlineStr">
        <is>
          <t>External</t>
        </is>
      </c>
      <c r="F38" t="inlineStr">
        <is>
          <t>Photovoltaic source</t>
        </is>
      </c>
      <c r="G38" t="inlineStr">
        <is>
          <t>—</t>
        </is>
      </c>
      <c r="H38" t="inlineStr">
        <is>
          <t>User-selected</t>
        </is>
      </c>
      <c r="I38" t="inlineStr">
        <is>
          <t>Connect via J1; size for load/region</t>
        </is>
      </c>
    </row>
    <row r="39">
      <c r="A39" t="inlineStr">
        <is>
          <t>37</t>
        </is>
      </c>
      <c r="B39" t="inlineStr">
        <is>
          <t>—</t>
        </is>
      </c>
      <c r="C39" t="inlineStr">
        <is>
          <t>1</t>
        </is>
      </c>
      <c r="D39" t="inlineStr">
        <is>
          <t>Rechargeable battery</t>
        </is>
      </c>
      <c r="E39" t="inlineStr">
        <is>
          <t>External</t>
        </is>
      </c>
      <c r="F39" t="inlineStr">
        <is>
          <t>NiMH/Li-ion etc</t>
        </is>
      </c>
      <c r="G39" t="inlineStr">
        <is>
          <t>—</t>
        </is>
      </c>
      <c r="H39" t="inlineStr">
        <is>
          <t>User-selected</t>
        </is>
      </c>
      <c r="I39" t="inlineStr">
        <is>
          <t>Connect via J8; optional if supercap only</t>
        </is>
      </c>
    </row>
    <row r="40">
      <c r="A40" t="inlineStr">
        <is>
          <t>38</t>
        </is>
      </c>
      <c r="B40" t="inlineStr">
        <is>
          <t>—</t>
        </is>
      </c>
      <c r="C40" t="inlineStr">
        <is>
          <t>1</t>
        </is>
      </c>
      <c r="D40" t="inlineStr">
        <is>
          <t>Antenna</t>
        </is>
      </c>
      <c r="E40" t="inlineStr">
        <is>
          <t>External</t>
        </is>
      </c>
      <c r="F40" t="inlineStr">
        <is>
          <t>LoRa antenna 868/915 MHz</t>
        </is>
      </c>
      <c r="G40" t="inlineStr">
        <is>
          <t>—</t>
        </is>
      </c>
      <c r="H40" t="inlineStr">
        <is>
          <t>User-selected</t>
        </is>
      </c>
      <c r="I40" t="inlineStr">
        <is>
          <t>Connect to MOD1 ANT</t>
        </is>
      </c>
    </row>
    <row r="41">
      <c r="A41" t="inlineStr">
        <is>
          <t>39</t>
        </is>
      </c>
      <c r="B41" t="inlineStr">
        <is>
          <t>—</t>
        </is>
      </c>
      <c r="C41" t="inlineStr">
        <is>
          <t>1</t>
        </is>
      </c>
      <c r="D41" t="inlineStr">
        <is>
          <t>PCB</t>
        </is>
      </c>
      <c r="E41" t="inlineStr">
        <is>
          <t>A2</t>
        </is>
      </c>
      <c r="F41" t="inlineStr">
        <is>
          <t>Printed circuit board</t>
        </is>
      </c>
      <c r="G41" t="inlineStr">
        <is>
          <t>—</t>
        </is>
      </c>
      <c r="H41" t="inlineStr">
        <is>
          <t>SolarSensor Rev2</t>
        </is>
      </c>
      <c r="I41" t="inlineStr">
        <is>
          <t>Feb 2026 core design</t>
        </is>
      </c>
    </row>
  </sheetData>
  <mergeCells count="1">
    <mergeCell ref="A1:I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30" r:id="rId9"/>
    <hyperlink xmlns:r="http://schemas.openxmlformats.org/officeDocument/2006/relationships" ref="J31" r:id="rId10"/>
    <hyperlink xmlns:r="http://schemas.openxmlformats.org/officeDocument/2006/relationships" ref="J3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34" customWidth="1" min="15" max="15"/>
  </cols>
  <sheetData>
    <row r="1">
      <c r="A1" s="8" t="inlineStr">
        <is>
          <t>Solar Sensor Rev2 — Energy Budget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8" t="n"/>
    </row>
    <row r="3">
      <c r="A3" s="8" t="inlineStr">
        <is>
          <t>Global Assumptions</t>
        </is>
      </c>
      <c r="B3" s="27" t="n"/>
      <c r="C3" s="27" t="n"/>
      <c r="D3" s="28" t="n"/>
    </row>
    <row r="4">
      <c r="A4" s="9" t="inlineStr">
        <is>
          <t>Parameter</t>
        </is>
      </c>
      <c r="B4" s="9" t="inlineStr">
        <is>
          <t>Value</t>
        </is>
      </c>
      <c r="C4" s="9" t="inlineStr">
        <is>
          <t>Unit</t>
        </is>
      </c>
      <c r="D4" s="9" t="inlineStr">
        <is>
          <t>Notes</t>
        </is>
      </c>
    </row>
    <row r="5">
      <c r="A5" s="10" t="inlineStr">
        <is>
          <t>Budget period</t>
        </is>
      </c>
      <c r="B5" s="10" t="n">
        <v>300</v>
      </c>
      <c r="C5" s="10" t="inlineStr">
        <is>
          <t>s</t>
        </is>
      </c>
      <c r="D5" s="10" t="inlineStr">
        <is>
          <t>Analysis window for averages and solar sizing</t>
        </is>
      </c>
    </row>
    <row r="6">
      <c r="A6" s="10" t="inlineStr">
        <is>
          <t>LoRa report interval</t>
        </is>
      </c>
      <c r="B6" s="10" t="n">
        <v>300</v>
      </c>
      <c r="C6" s="10" t="inlineStr">
        <is>
          <t>s</t>
        </is>
      </c>
      <c r="D6" s="10" t="inlineStr">
        <is>
          <t>TX cadence; may differ from sensor sample rates</t>
        </is>
      </c>
    </row>
    <row r="7">
      <c r="A7" s="10" t="inlineStr">
        <is>
          <t>Filter depth N</t>
        </is>
      </c>
      <c r="B7" s="10" t="n">
        <v>5</v>
      </c>
      <c r="C7" s="10" t="inlineStr">
        <is>
          <t>reads</t>
        </is>
      </c>
      <c r="D7" s="10" t="inlineStr">
        <is>
          <t>Mean of last N samples per channel (typical 3–5)</t>
        </is>
      </c>
    </row>
    <row r="8">
      <c r="A8" s="10" t="inlineStr">
        <is>
          <t>Supply voltage MCU/radio</t>
        </is>
      </c>
      <c r="B8" s="10" t="n">
        <v>3.3</v>
      </c>
      <c r="C8" s="10" t="inlineStr">
        <is>
          <t>V</t>
        </is>
      </c>
      <c r="D8" s="10" t="inlineStr">
        <is>
          <t>RA-08 module</t>
        </is>
      </c>
    </row>
    <row r="9">
      <c r="A9" s="10" t="inlineStr">
        <is>
          <t>Sensor 1.8 V rail</t>
        </is>
      </c>
      <c r="B9" s="10" t="n">
        <v>1.8</v>
      </c>
      <c r="C9" s="10" t="inlineStr">
        <is>
          <t>V</t>
        </is>
      </c>
      <c r="D9" s="10" t="inlineStr">
        <is>
          <t>SHT40, SGP30</t>
        </is>
      </c>
    </row>
    <row r="10">
      <c r="A10" s="10" t="inlineStr">
        <is>
          <t>STCC4 supply</t>
        </is>
      </c>
      <c r="B10" s="10" t="n">
        <v>3.3</v>
      </c>
      <c r="C10" s="10" t="inlineStr">
        <is>
          <t>V</t>
        </is>
      </c>
      <c r="D10" s="10" t="inlineStr">
        <is>
          <t>CO₂ sensor rail</t>
        </is>
      </c>
    </row>
    <row r="11">
      <c r="A11" s="10" t="inlineStr">
        <is>
          <t>MCU sleep current</t>
        </is>
      </c>
      <c r="B11" s="10" t="n">
        <v>1.3</v>
      </c>
      <c r="C11" s="10" t="inlineStr">
        <is>
          <t>µA</t>
        </is>
      </c>
      <c r="D11" s="10" t="inlineStr">
        <is>
          <t>STOP3 between activity</t>
        </is>
      </c>
    </row>
    <row r="12">
      <c r="A12" s="10" t="inlineStr">
        <is>
          <t>MCU active current</t>
        </is>
      </c>
      <c r="B12" s="10" t="n">
        <v>4</v>
      </c>
      <c r="C12" s="10" t="inlineStr">
        <is>
          <t>mA</t>
        </is>
      </c>
      <c r="D12" s="10" t="inlineStr">
        <is>
          <t>During sensor read + TX prep</t>
        </is>
      </c>
    </row>
    <row r="13">
      <c r="A13" s="10" t="inlineStr">
        <is>
          <t>MCU active time</t>
        </is>
      </c>
      <c r="B13" s="10" t="n">
        <v>0.1</v>
      </c>
      <c r="C13" s="10" t="inlineStr">
        <is>
          <t>s</t>
        </is>
      </c>
      <c r="D13" s="10" t="inlineStr">
        <is>
          <t>Per LoRa report burst</t>
        </is>
      </c>
    </row>
    <row r="14">
      <c r="A14" s="10" t="inlineStr">
        <is>
          <t>Harvester efficiency</t>
        </is>
      </c>
      <c r="B14" s="10" t="n">
        <v>0.75</v>
      </c>
      <c r="C14" s="10" t="inlineStr"/>
      <c r="D14" s="10" t="inlineStr">
        <is>
          <t>BQ25505 end-to-end</t>
        </is>
      </c>
    </row>
    <row r="15">
      <c r="A15" s="10" t="inlineStr">
        <is>
          <t>Design margin</t>
        </is>
      </c>
      <c r="B15" s="10" t="n">
        <v>1.3</v>
      </c>
      <c r="C15" s="10" t="inlineStr"/>
      <c r="D15" s="10" t="inlineStr">
        <is>
          <t>Aging, soiling, tolerance</t>
        </is>
      </c>
    </row>
    <row r="16">
      <c r="A16" s="10" t="inlineStr">
        <is>
          <t>Panel area</t>
        </is>
      </c>
      <c r="B16" s="10" t="n">
        <v>16</v>
      </c>
      <c r="C16" s="10" t="inlineStr">
        <is>
          <t>cm²</t>
        </is>
      </c>
      <c r="D16" s="10" t="inlineStr">
        <is>
          <t>40 mm × 40 mm</t>
        </is>
      </c>
    </row>
    <row r="17">
      <c r="A17" s="10" t="inlineStr">
        <is>
          <t>Panel power density @ ref</t>
        </is>
      </c>
      <c r="B17" s="10" t="n">
        <v>8</v>
      </c>
      <c r="C17" s="10" t="inlineStr">
        <is>
          <t>µW/cm²</t>
        </is>
      </c>
      <c r="D17" s="10" t="inlineStr">
        <is>
          <t>Amorton-class @ ref lux</t>
        </is>
      </c>
    </row>
    <row r="18">
      <c r="A18" s="10" t="inlineStr">
        <is>
          <t>Reference illuminance</t>
        </is>
      </c>
      <c r="B18" s="10" t="n">
        <v>200</v>
      </c>
      <c r="C18" s="10" t="inlineStr">
        <is>
          <t>lux</t>
        </is>
      </c>
      <c r="D18" s="10" t="inlineStr">
        <is>
          <t>Indoor a-Si reference point</t>
        </is>
      </c>
    </row>
    <row r="20">
      <c r="A20" s="8" t="inlineStr">
        <is>
          <t>Sensor Configuration — edit Populated, sample interval, and mode per channel</t>
        </is>
      </c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8" t="n"/>
    </row>
    <row r="21">
      <c r="A21" s="9" t="inlineStr">
        <is>
          <t>Sensor</t>
        </is>
      </c>
      <c r="B21" s="9" t="inlineStr">
        <is>
          <t>Ref</t>
        </is>
      </c>
      <c r="C21" s="9" t="inlineStr">
        <is>
          <t>Populated</t>
        </is>
      </c>
      <c r="D21" s="9" t="inlineStr">
        <is>
          <t>Sample interval (s)</t>
        </is>
      </c>
      <c r="E21" s="9" t="inlineStr">
        <is>
          <t>Mode</t>
        </is>
      </c>
      <c r="F21" s="9" t="inlineStr">
        <is>
          <t>I active (mA)</t>
        </is>
      </c>
      <c r="G21" s="9" t="inlineStr">
        <is>
          <t>t active (s)</t>
        </is>
      </c>
      <c r="H21" s="9" t="inlineStr">
        <is>
          <t>Supply (V)</t>
        </is>
      </c>
      <c r="I21" s="9" t="inlineStr">
        <is>
          <t>Charge / event (mAs)</t>
        </is>
      </c>
      <c r="J21" s="9" t="inlineStr">
        <is>
          <t>Samples / period</t>
        </is>
      </c>
      <c r="K21" s="9" t="inlineStr">
        <is>
          <t>Charge / period (mAs)</t>
        </is>
      </c>
      <c r="L21" s="9" t="inlineStr">
        <is>
          <t>Energy / period (mJ)</t>
        </is>
      </c>
      <c r="M21" s="9" t="inlineStr">
        <is>
          <t>Avg I (µA)</t>
        </is>
      </c>
      <c r="N21" s="9" t="inlineStr">
        <is>
          <t>Avg power (µW)</t>
        </is>
      </c>
      <c r="O21" s="9" t="inlineStr">
        <is>
          <t>Notes</t>
        </is>
      </c>
    </row>
    <row r="22">
      <c r="A22" s="10" t="inlineStr">
        <is>
          <t>SHT40</t>
        </is>
      </c>
      <c r="B22" s="10" t="inlineStr">
        <is>
          <t>U5/U7</t>
        </is>
      </c>
      <c r="C22" s="18" t="n">
        <v>1</v>
      </c>
      <c r="D22" s="18" t="n">
        <v>300</v>
      </c>
      <c r="E22" s="10" t="inlineStr">
        <is>
          <t>pulsed</t>
        </is>
      </c>
      <c r="F22" s="12" t="n">
        <v>0.8</v>
      </c>
      <c r="G22" s="12" t="n">
        <v>0.02</v>
      </c>
      <c r="H22" s="10" t="n">
        <v>1.8</v>
      </c>
      <c r="I22" s="12">
        <f>IF($C22=0,0,$F22*$G22)</f>
        <v/>
      </c>
      <c r="J22" s="18">
        <f>IF($C22=0,0,ROUNDUP($B$5/$D22,0))</f>
        <v/>
      </c>
      <c r="K22" s="12">
        <f>IF($C22=0,0,$I22*$J22)</f>
        <v/>
      </c>
      <c r="L22" s="12">
        <f>$K22*$H22</f>
        <v/>
      </c>
      <c r="M22" s="12">
        <f>$K22/$B$5*1000</f>
        <v/>
      </c>
      <c r="N22" s="12">
        <f>$M22*$H22</f>
        <v/>
      </c>
      <c r="O22" s="10" t="inlineStr">
        <is>
          <t>HUM_EN switched</t>
        </is>
      </c>
    </row>
    <row r="23">
      <c r="A23" s="10" t="inlineStr">
        <is>
          <t>SGP30</t>
        </is>
      </c>
      <c r="B23" s="10" t="inlineStr">
        <is>
          <t>U3</t>
        </is>
      </c>
      <c r="C23" s="18" t="n">
        <v>0</v>
      </c>
      <c r="D23" s="18" t="n">
        <v>300</v>
      </c>
      <c r="E23" s="10" t="inlineStr">
        <is>
          <t>pulsed</t>
        </is>
      </c>
      <c r="F23" s="12" t="n">
        <v>48</v>
      </c>
      <c r="G23" s="12" t="n">
        <v>0.04</v>
      </c>
      <c r="H23" s="10" t="n">
        <v>1.8</v>
      </c>
      <c r="I23" s="12">
        <f>IF($C23=0,0,$F23*$G23)</f>
        <v/>
      </c>
      <c r="J23" s="18">
        <f>IF($C23=0,0,ROUNDUP($B$5/$D23,0))</f>
        <v/>
      </c>
      <c r="K23" s="12">
        <f>IF($C23=0,0,$I23*$J23)</f>
        <v/>
      </c>
      <c r="L23" s="12">
        <f>$K23*$H23</f>
        <v/>
      </c>
      <c r="M23" s="12">
        <f>$K23/$B$5*1000</f>
        <v/>
      </c>
      <c r="N23" s="12">
        <f>$M23*$H23</f>
        <v/>
      </c>
      <c r="O23" s="10" t="inlineStr">
        <is>
          <t>TVOC optional — set Populated=1 if fitted</t>
        </is>
      </c>
    </row>
    <row r="24">
      <c r="A24" s="10" t="inlineStr">
        <is>
          <t>BH1620 / GC2</t>
        </is>
      </c>
      <c r="B24" s="10" t="inlineStr">
        <is>
          <t>U8</t>
        </is>
      </c>
      <c r="C24" s="18" t="n">
        <v>1</v>
      </c>
      <c r="D24" s="18" t="n">
        <v>300</v>
      </c>
      <c r="E24" s="10" t="inlineStr">
        <is>
          <t>pulsed</t>
        </is>
      </c>
      <c r="F24" s="12" t="n">
        <v>0.09</v>
      </c>
      <c r="G24" s="12" t="n">
        <v>0.01</v>
      </c>
      <c r="H24" s="10" t="n">
        <v>3.3</v>
      </c>
      <c r="I24" s="12">
        <f>IF($C24=0,0,$F24*$G24)</f>
        <v/>
      </c>
      <c r="J24" s="18">
        <f>IF($C24=0,0,ROUNDUP($B$5/$D24,0))</f>
        <v/>
      </c>
      <c r="K24" s="12">
        <f>IF($C24=0,0,$I24*$J24)</f>
        <v/>
      </c>
      <c r="L24" s="12">
        <f>$K24*$H24</f>
        <v/>
      </c>
      <c r="M24" s="12">
        <f>$K24/$B$5*1000</f>
        <v/>
      </c>
      <c r="N24" s="12">
        <f>$M24*$H24</f>
        <v/>
      </c>
      <c r="O24" s="10" t="inlineStr">
        <is>
          <t>Light sensor</t>
        </is>
      </c>
    </row>
    <row r="25">
      <c r="A25" s="10" t="inlineStr">
        <is>
          <t>STCC4 CO₂</t>
        </is>
      </c>
      <c r="B25" s="10" t="inlineStr">
        <is>
          <t>U6</t>
        </is>
      </c>
      <c r="C25" s="18" t="n">
        <v>1</v>
      </c>
      <c r="D25" s="18" t="n">
        <v>300</v>
      </c>
      <c r="E25" s="10" t="inlineStr">
        <is>
          <t>single-shot</t>
        </is>
      </c>
      <c r="F25" s="12" t="n">
        <v>2</v>
      </c>
      <c r="G25" s="12" t="n">
        <v>0.505</v>
      </c>
      <c r="H25" s="10" t="n">
        <v>3.3</v>
      </c>
      <c r="I25" s="12">
        <f>IF($C25=0,0,$F25*$G25)</f>
        <v/>
      </c>
      <c r="J25" s="18">
        <f>IF($C25=0,0,ROUNDUP($B$5/$D25,0))</f>
        <v/>
      </c>
      <c r="K25" s="12">
        <f>IF($C25=0,0,$I25*$J25)</f>
        <v/>
      </c>
      <c r="L25" s="12">
        <f>$K25*$H25</f>
        <v/>
      </c>
      <c r="M25" s="12">
        <f>$K25/$B$5*1000</f>
        <v/>
      </c>
      <c r="N25" s="12">
        <f>$M25*$H25</f>
        <v/>
      </c>
      <c r="O25" s="10" t="inlineStr">
        <is>
          <t>exit_sleep + measure_single_shot + sleep</t>
        </is>
      </c>
    </row>
    <row r="27">
      <c r="A27" s="8" t="inlineStr">
        <is>
          <t>LoRa Transmit (19-byte sensor report, opcode 0x21)</t>
        </is>
      </c>
      <c r="B27" s="27" t="n"/>
      <c r="C27" s="27" t="n"/>
      <c r="D27" s="28" t="n"/>
    </row>
    <row r="28">
      <c r="A28" s="9" t="inlineStr">
        <is>
          <t>Parameter</t>
        </is>
      </c>
      <c r="B28" s="9" t="inlineStr">
        <is>
          <t>Value</t>
        </is>
      </c>
      <c r="C28" s="9" t="inlineStr">
        <is>
          <t>Unit</t>
        </is>
      </c>
      <c r="D28" s="9" t="inlineStr">
        <is>
          <t>Notes</t>
        </is>
      </c>
    </row>
    <row r="29">
      <c r="A29" s="10" t="inlineStr">
        <is>
          <t>Payload size</t>
        </is>
      </c>
      <c r="B29" s="10" t="n">
        <v>19</v>
      </c>
      <c r="C29" s="10" t="inlineStr">
        <is>
          <t>bytes</t>
        </is>
      </c>
      <c r="D29" s="10" t="inlineStr">
        <is>
          <t>sizeof(pkt) in lora_driver.c</t>
        </is>
      </c>
    </row>
    <row r="30">
      <c r="A30" s="10" t="inlineStr">
        <is>
          <t>Time on air</t>
        </is>
      </c>
      <c r="B30" s="10" t="n">
        <v>0.052</v>
      </c>
      <c r="C30" s="10" t="inlineStr">
        <is>
          <t>s</t>
        </is>
      </c>
      <c r="D30" s="10" t="inlineStr">
        <is>
          <t>RadioTimeOnAir() SF7/125kHz</t>
        </is>
      </c>
    </row>
    <row r="31">
      <c r="A31" s="10" t="inlineStr">
        <is>
          <t>TX current (est.)</t>
        </is>
      </c>
      <c r="B31" s="10" t="n">
        <v>60</v>
      </c>
      <c r="C31" s="10" t="inlineStr">
        <is>
          <t>mA</t>
        </is>
      </c>
      <c r="D31" s="10" t="inlineStr">
        <is>
          <t>ASR6601 @ 3.3 V</t>
        </is>
      </c>
    </row>
    <row r="32">
      <c r="A32" s="10" t="inlineStr">
        <is>
          <t>LoRa enabled</t>
        </is>
      </c>
      <c r="B32" s="10" t="n">
        <v>1</v>
      </c>
      <c r="C32" s="10" t="inlineStr">
        <is>
          <t>0/1</t>
        </is>
      </c>
      <c r="D32" s="10" t="inlineStr">
        <is>
          <t>Set 0 to model receive-only / no uplink</t>
        </is>
      </c>
    </row>
    <row r="33">
      <c r="A33" s="10" t="inlineStr">
        <is>
          <t>TX charge / packet</t>
        </is>
      </c>
      <c r="B33" s="12">
        <f>B31*B30</f>
        <v/>
      </c>
      <c r="C33" s="10" t="inlineStr">
        <is>
          <t>mAs</t>
        </is>
      </c>
    </row>
    <row r="34">
      <c r="A34" s="10" t="inlineStr">
        <is>
          <t>TX packets / budget period</t>
        </is>
      </c>
      <c r="B34" s="18">
        <f>IF(B32=0,0,ROUNDUP($B$5/$B$6,0))</f>
        <v/>
      </c>
      <c r="C34" s="10" t="inlineStr">
        <is>
          <t>count</t>
        </is>
      </c>
    </row>
    <row r="35">
      <c r="A35" s="13" t="inlineStr">
        <is>
          <t>LoRa charge / period</t>
        </is>
      </c>
      <c r="B35" s="14">
        <f>B33*B34</f>
        <v/>
      </c>
      <c r="C35" s="13" t="inlineStr">
        <is>
          <t>mAs</t>
        </is>
      </c>
    </row>
    <row r="37">
      <c r="A37" s="8" t="inlineStr">
        <is>
          <t>System Elements</t>
        </is>
      </c>
      <c r="B37" s="27" t="n"/>
      <c r="C37" s="27" t="n"/>
      <c r="D37" s="27" t="n"/>
      <c r="E37" s="27" t="n"/>
      <c r="F37" s="28" t="n"/>
    </row>
    <row r="38">
      <c r="A38" s="9" t="inlineStr">
        <is>
          <t>Element</t>
        </is>
      </c>
      <c r="B38" s="9" t="inlineStr">
        <is>
          <t>Enabled</t>
        </is>
      </c>
      <c r="C38" s="9" t="inlineStr">
        <is>
          <t>Charge / period (mAs)</t>
        </is>
      </c>
      <c r="D38" s="9" t="inlineStr">
        <is>
          <t>Energy / period (mJ)</t>
        </is>
      </c>
      <c r="E38" s="9" t="inlineStr">
        <is>
          <t>Avg I (µA)</t>
        </is>
      </c>
      <c r="F38" s="9" t="inlineStr">
        <is>
          <t>Avg power (µW)</t>
        </is>
      </c>
      <c r="G38" s="9" t="inlineStr">
        <is>
          <t>Notes</t>
        </is>
      </c>
    </row>
    <row r="39">
      <c r="A39" s="10" t="inlineStr">
        <is>
          <t>LoRa TX</t>
        </is>
      </c>
      <c r="B39" s="10">
        <f>B32</f>
        <v/>
      </c>
      <c r="C39" s="12">
        <f>B35</f>
        <v/>
      </c>
      <c r="D39" s="12">
        <f>C39*$B$8</f>
        <v/>
      </c>
      <c r="E39" s="12">
        <f>C39/$B$5*1000</f>
        <v/>
      </c>
      <c r="F39" s="12">
        <f>E39*$B$8</f>
        <v/>
      </c>
      <c r="G39" s="10" t="inlineStr">
        <is>
          <t>Uplink radio @ 3.3 V</t>
        </is>
      </c>
    </row>
    <row r="40">
      <c r="A40" s="10" t="inlineStr">
        <is>
          <t>MCU active</t>
        </is>
      </c>
      <c r="B40" s="10">
        <f>B32</f>
        <v/>
      </c>
      <c r="C40" s="12">
        <f>IF(B32=0,0,$B$12*$B$13*B34)</f>
        <v/>
      </c>
      <c r="D40" s="12">
        <f>C40*$B$8</f>
        <v/>
      </c>
      <c r="E40" s="12">
        <f>C40/$B$5*1000</f>
        <v/>
      </c>
      <c r="F40" s="12">
        <f>E40*$B$8</f>
        <v/>
      </c>
      <c r="G40" s="10" t="inlineStr">
        <is>
          <t>Scales with LoRa report count</t>
        </is>
      </c>
    </row>
    <row r="41">
      <c r="A41" s="10" t="inlineStr">
        <is>
          <t>MCU sleep</t>
        </is>
      </c>
      <c r="B41" s="10" t="n">
        <v>1</v>
      </c>
      <c r="C41" s="12">
        <f>$B$11/1000*$B$5</f>
        <v/>
      </c>
      <c r="D41" s="12">
        <f>C41*$B$8</f>
        <v/>
      </c>
      <c r="E41" s="12">
        <f>C41/$B$5*1000</f>
        <v/>
      </c>
      <c r="F41" s="12">
        <f>E41*$B$8</f>
        <v/>
      </c>
      <c r="G41" s="10" t="inlineStr">
        <is>
          <t>STOP3 over full budget period</t>
        </is>
      </c>
    </row>
    <row r="43">
      <c r="A43" s="8" t="inlineStr">
        <is>
          <t>Budget Summary</t>
        </is>
      </c>
      <c r="B43" s="27" t="n"/>
      <c r="C43" s="27" t="n"/>
      <c r="D43" s="27" t="n"/>
      <c r="E43" s="27" t="n"/>
      <c r="F43" s="28" t="n"/>
    </row>
    <row r="44">
      <c r="A44" s="9" t="inlineStr">
        <is>
          <t>Contributor</t>
        </is>
      </c>
      <c r="B44" s="9" t="inlineStr">
        <is>
          <t>Populated</t>
        </is>
      </c>
      <c r="C44" s="9" t="inlineStr">
        <is>
          <t>Charge / period (mAs)</t>
        </is>
      </c>
      <c r="D44" s="9" t="inlineStr">
        <is>
          <t>Energy / period (mJ)</t>
        </is>
      </c>
      <c r="E44" s="9" t="inlineStr">
        <is>
          <t>Avg I (µA)</t>
        </is>
      </c>
      <c r="F44" s="9" t="inlineStr">
        <is>
          <t>Avg power (µW)</t>
        </is>
      </c>
      <c r="G44" s="9" t="inlineStr">
        <is>
          <t>Notes</t>
        </is>
      </c>
    </row>
    <row r="45">
      <c r="A45" s="10">
        <f>A22</f>
        <v/>
      </c>
      <c r="B45" s="10">
        <f>C22</f>
        <v/>
      </c>
      <c r="C45" s="12">
        <f>K22</f>
        <v/>
      </c>
      <c r="D45" s="12">
        <f>L22</f>
        <v/>
      </c>
      <c r="E45" s="12">
        <f>M22</f>
        <v/>
      </c>
      <c r="F45" s="12">
        <f>N22</f>
        <v/>
      </c>
      <c r="G45" s="10">
        <f>O22</f>
        <v/>
      </c>
    </row>
    <row r="46">
      <c r="A46" s="10">
        <f>A23</f>
        <v/>
      </c>
      <c r="B46" s="10">
        <f>C23</f>
        <v/>
      </c>
      <c r="C46" s="12">
        <f>K23</f>
        <v/>
      </c>
      <c r="D46" s="12">
        <f>L23</f>
        <v/>
      </c>
      <c r="E46" s="12">
        <f>M23</f>
        <v/>
      </c>
      <c r="F46" s="12">
        <f>N23</f>
        <v/>
      </c>
      <c r="G46" s="10">
        <f>O23</f>
        <v/>
      </c>
    </row>
    <row r="47">
      <c r="A47" s="10">
        <f>A24</f>
        <v/>
      </c>
      <c r="B47" s="10">
        <f>C24</f>
        <v/>
      </c>
      <c r="C47" s="12">
        <f>K24</f>
        <v/>
      </c>
      <c r="D47" s="12">
        <f>L24</f>
        <v/>
      </c>
      <c r="E47" s="12">
        <f>M24</f>
        <v/>
      </c>
      <c r="F47" s="12">
        <f>N24</f>
        <v/>
      </c>
      <c r="G47" s="10">
        <f>O24</f>
        <v/>
      </c>
    </row>
    <row r="48">
      <c r="A48" s="10">
        <f>A25</f>
        <v/>
      </c>
      <c r="B48" s="10">
        <f>C25</f>
        <v/>
      </c>
      <c r="C48" s="12">
        <f>K25</f>
        <v/>
      </c>
      <c r="D48" s="12">
        <f>L25</f>
        <v/>
      </c>
      <c r="E48" s="12">
        <f>M25</f>
        <v/>
      </c>
      <c r="F48" s="12">
        <f>N25</f>
        <v/>
      </c>
      <c r="G48" s="10">
        <f>O25</f>
        <v/>
      </c>
    </row>
    <row r="49">
      <c r="A49" s="10" t="inlineStr">
        <is>
          <t>LoRa TX</t>
        </is>
      </c>
      <c r="B49" s="10">
        <f>B39</f>
        <v/>
      </c>
      <c r="C49" s="12">
        <f>C39</f>
        <v/>
      </c>
      <c r="D49" s="12">
        <f>D39</f>
        <v/>
      </c>
      <c r="E49" s="12">
        <f>E39</f>
        <v/>
      </c>
      <c r="F49" s="12">
        <f>F39</f>
        <v/>
      </c>
      <c r="G49" s="10">
        <f>G39</f>
        <v/>
      </c>
    </row>
    <row r="50">
      <c r="A50" s="10" t="inlineStr">
        <is>
          <t>MCU active</t>
        </is>
      </c>
      <c r="B50" s="10">
        <f>B40</f>
        <v/>
      </c>
      <c r="C50" s="12">
        <f>C40</f>
        <v/>
      </c>
      <c r="D50" s="12">
        <f>D40</f>
        <v/>
      </c>
      <c r="E50" s="12">
        <f>E40</f>
        <v/>
      </c>
      <c r="F50" s="12">
        <f>F40</f>
        <v/>
      </c>
      <c r="G50" s="10">
        <f>G40</f>
        <v/>
      </c>
    </row>
    <row r="51">
      <c r="A51" s="10" t="inlineStr">
        <is>
          <t>MCU sleep</t>
        </is>
      </c>
      <c r="B51" s="10">
        <f>B41</f>
        <v/>
      </c>
      <c r="C51" s="12">
        <f>C41</f>
        <v/>
      </c>
      <c r="D51" s="12">
        <f>D41</f>
        <v/>
      </c>
      <c r="E51" s="12">
        <f>E41</f>
        <v/>
      </c>
      <c r="F51" s="12">
        <f>F41</f>
        <v/>
      </c>
      <c r="G51" s="10">
        <f>G41</f>
        <v/>
      </c>
    </row>
    <row r="52">
      <c r="A52" s="13" t="inlineStr">
        <is>
          <t>TOTAL</t>
        </is>
      </c>
      <c r="B52" s="13" t="inlineStr"/>
      <c r="C52" s="14">
        <f>SUM(C45:C51)</f>
        <v/>
      </c>
      <c r="D52" s="14">
        <f>SUM(D45:D51)</f>
        <v/>
      </c>
      <c r="E52" s="14">
        <f>SUM(E45:E51)</f>
        <v/>
      </c>
      <c r="F52" s="14">
        <f>SUM(F45:F51)</f>
        <v/>
      </c>
      <c r="G52" s="13" t="inlineStr">
        <is>
          <t>Sum of populated sensors + system elements</t>
        </is>
      </c>
    </row>
    <row r="54">
      <c r="A54" s="8" t="inlineStr">
        <is>
          <t>STCC4 CO₂ Options</t>
        </is>
      </c>
      <c r="B54" s="27" t="n"/>
      <c r="C54" s="27" t="n"/>
      <c r="D54" s="28" t="n"/>
    </row>
    <row r="55">
      <c r="A55" s="9" t="inlineStr">
        <is>
          <t>Option</t>
        </is>
      </c>
      <c r="B55" s="9" t="inlineStr">
        <is>
          <t>Typical I</t>
        </is>
      </c>
      <c r="C55" s="9" t="inlineStr">
        <is>
          <t>Charge / sample</t>
        </is>
      </c>
      <c r="D55" s="9" t="inlineStr">
        <is>
          <t>Notes</t>
        </is>
      </c>
    </row>
    <row r="56">
      <c r="A56" s="10" t="inlineStr">
        <is>
          <t>single-shot + sleep</t>
        </is>
      </c>
      <c r="B56" s="10" t="inlineStr">
        <is>
          <t>2.0 mA × 0.505 s</t>
        </is>
      </c>
      <c r="C56" s="10" t="inlineStr">
        <is>
          <t>1.01 mAs</t>
        </is>
      </c>
      <c r="D56" s="10" t="inlineStr">
        <is>
          <t>Recommended — set STCC4 Mode=single-shot</t>
        </is>
      </c>
    </row>
    <row r="57">
      <c r="A57" s="10" t="inlineStr">
        <is>
          <t>pulsed</t>
        </is>
      </c>
      <c r="B57" s="10" t="inlineStr">
        <is>
          <t>I × t per sample</t>
        </is>
      </c>
      <c r="C57" s="10" t="inlineStr">
        <is>
          <t>scales with sample interval</t>
        </is>
      </c>
      <c r="D57" s="10" t="inlineStr">
        <is>
          <t>SHT40, SGP30, BH1620</t>
        </is>
      </c>
    </row>
    <row r="58">
      <c r="A58" s="10" t="inlineStr">
        <is>
          <t>hard power-off</t>
        </is>
      </c>
      <c r="B58" s="10" t="inlineStr">
        <is>
          <t>~1 s boot + sample</t>
        </is>
      </c>
      <c r="C58" s="10" t="inlineStr">
        <is>
          <t>1.5 mAs</t>
        </is>
      </c>
      <c r="D58" s="10" t="inlineStr">
        <is>
          <t>Resets ASC; use CO2_EN switch</t>
        </is>
      </c>
    </row>
    <row r="60">
      <c r="A60" s="8" t="inlineStr">
        <is>
          <t>Indoor Solar — 40×40 mm Panel</t>
        </is>
      </c>
      <c r="B60" s="27" t="n"/>
      <c r="C60" s="27" t="n"/>
      <c r="D60" s="28" t="n"/>
    </row>
    <row r="61">
      <c r="A61" s="9" t="inlineStr">
        <is>
          <t>Parameter</t>
        </is>
      </c>
      <c r="B61" s="9" t="inlineStr">
        <is>
          <t>Value</t>
        </is>
      </c>
      <c r="C61" s="9" t="inlineStr">
        <is>
          <t>Unit</t>
        </is>
      </c>
      <c r="D61" s="9" t="inlineStr">
        <is>
          <t>Notes</t>
        </is>
      </c>
    </row>
    <row r="62">
      <c r="A62" s="10" t="inlineStr">
        <is>
          <t>Required net power (+ margin)</t>
        </is>
      </c>
      <c r="B62" s="16">
        <f>F52*$B$15</f>
        <v/>
      </c>
      <c r="C62" s="10" t="inlineStr">
        <is>
          <t>µW</t>
        </is>
      </c>
    </row>
    <row r="63">
      <c r="A63" s="10" t="inlineStr">
        <is>
          <t>Required panel input</t>
        </is>
      </c>
      <c r="B63" s="16">
        <f>B62/$B$14</f>
        <v/>
      </c>
      <c r="C63" s="10" t="inlineStr">
        <is>
          <t>µW</t>
        </is>
      </c>
    </row>
    <row r="64">
      <c r="A64" s="13" t="inlineStr">
        <is>
          <t>Break-even illuminance</t>
        </is>
      </c>
      <c r="B64" s="17">
        <f>B63*$B$18/($B$16*$B$17)</f>
        <v/>
      </c>
      <c r="C64" s="13" t="inlineStr">
        <is>
          <t>lux</t>
        </is>
      </c>
    </row>
    <row r="65">
      <c r="A65" s="10" t="inlineStr">
        <is>
          <t>Comfortable illuminance (~2×)</t>
        </is>
      </c>
      <c r="B65" s="18">
        <f>B64*2</f>
        <v/>
      </c>
      <c r="C65" s="10" t="inlineStr">
        <is>
          <t>lux</t>
        </is>
      </c>
    </row>
    <row r="67">
      <c r="A67" s="8" t="inlineStr">
        <is>
          <t>Panel Output vs Illuminance</t>
        </is>
      </c>
      <c r="B67" s="27" t="n"/>
      <c r="C67" s="27" t="n"/>
      <c r="D67" s="28" t="n"/>
    </row>
    <row r="68">
      <c r="A68" s="9" t="inlineStr">
        <is>
          <t>Illuminance (lux)</t>
        </is>
      </c>
      <c r="B68" s="9" t="inlineStr">
        <is>
          <t>Panel output (µW)</t>
        </is>
      </c>
      <c r="C68" s="9" t="inlineStr">
        <is>
          <t>Harvested (µW)</t>
        </is>
      </c>
      <c r="D68" s="9" t="inlineStr">
        <is>
          <t>Budget status</t>
        </is>
      </c>
    </row>
    <row r="69">
      <c r="A69" s="18" t="n">
        <v>100</v>
      </c>
      <c r="B69" s="16">
        <f>$B$16*$B$17*A69/$B$18</f>
        <v/>
      </c>
      <c r="C69" s="16">
        <f>B69*$B$14</f>
        <v/>
      </c>
      <c r="D69" s="10">
        <f>IF(C69&gt;=B62,"OK","DEFICIT")</f>
        <v/>
      </c>
    </row>
    <row r="70">
      <c r="A70" s="18" t="n">
        <v>150</v>
      </c>
      <c r="B70" s="16">
        <f>$B$16*$B$17*A70/$B$18</f>
        <v/>
      </c>
      <c r="C70" s="16">
        <f>B70*$B$14</f>
        <v/>
      </c>
      <c r="D70" s="10">
        <f>IF(C70&gt;=B62,"OK","DEFICIT")</f>
        <v/>
      </c>
    </row>
    <row r="71">
      <c r="A71" s="18" t="n">
        <v>200</v>
      </c>
      <c r="B71" s="16">
        <f>$B$16*$B$17*A71/$B$18</f>
        <v/>
      </c>
      <c r="C71" s="16">
        <f>B71*$B$14</f>
        <v/>
      </c>
      <c r="D71" s="10">
        <f>IF(C71&gt;=B62,"OK","DEFICIT")</f>
        <v/>
      </c>
    </row>
    <row r="72">
      <c r="A72" s="18" t="n">
        <v>250</v>
      </c>
      <c r="B72" s="16">
        <f>$B$16*$B$17*A72/$B$18</f>
        <v/>
      </c>
      <c r="C72" s="16">
        <f>B72*$B$14</f>
        <v/>
      </c>
      <c r="D72" s="10">
        <f>IF(C72&gt;=B62,"OK","DEFICIT")</f>
        <v/>
      </c>
    </row>
    <row r="73">
      <c r="A73" s="18" t="n">
        <v>300</v>
      </c>
      <c r="B73" s="16">
        <f>$B$16*$B$17*A73/$B$18</f>
        <v/>
      </c>
      <c r="C73" s="16">
        <f>B73*$B$14</f>
        <v/>
      </c>
      <c r="D73" s="10">
        <f>IF(C73&gt;=B62,"OK","DEFICIT")</f>
        <v/>
      </c>
    </row>
    <row r="74">
      <c r="A74" s="18" t="n">
        <v>400</v>
      </c>
      <c r="B74" s="16">
        <f>$B$16*$B$17*A74/$B$18</f>
        <v/>
      </c>
      <c r="C74" s="16">
        <f>B74*$B$14</f>
        <v/>
      </c>
      <c r="D74" s="10">
        <f>IF(C74&gt;=B62,"OK","DEFICIT")</f>
        <v/>
      </c>
    </row>
    <row r="75">
      <c r="A75" s="18" t="n">
        <v>500</v>
      </c>
      <c r="B75" s="16">
        <f>$B$16*$B$17*A75/$B$18</f>
        <v/>
      </c>
      <c r="C75" s="16">
        <f>B75*$B$14</f>
        <v/>
      </c>
      <c r="D75" s="10">
        <f>IF(C75&gt;=B62,"OK","DEFICIT")</f>
        <v/>
      </c>
    </row>
  </sheetData>
  <mergeCells count="9">
    <mergeCell ref="A27:D27"/>
    <mergeCell ref="A20:O20"/>
    <mergeCell ref="A67:D67"/>
    <mergeCell ref="A3:D3"/>
    <mergeCell ref="A37:F37"/>
    <mergeCell ref="A54:D54"/>
    <mergeCell ref="A1:O1"/>
    <mergeCell ref="A60:D60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48" customWidth="1" min="4" max="4"/>
  </cols>
  <sheetData>
    <row r="1">
      <c r="A1" s="8" t="inlineStr">
        <is>
          <t>Solar Sensor Rev2 — Power Optimization</t>
        </is>
      </c>
      <c r="B1" s="27" t="n"/>
      <c r="C1" s="27" t="n"/>
      <c r="D1" s="28" t="n"/>
    </row>
    <row r="3">
      <c r="A3" s="20" t="inlineStr">
        <is>
          <t>Parallel warm-up: start STCC4 first, read fast sensors during conversion, STOP3 while waiting. Filter = mean of last N reads per channel (N typically 3–5, default 5). No extra sensor energy for filtering.</t>
        </is>
      </c>
      <c r="B3" s="27" t="n"/>
      <c r="C3" s="27" t="n"/>
      <c r="D3" s="28" t="n"/>
    </row>
    <row r="5">
      <c r="A5" s="8" t="inlineStr">
        <is>
          <t>Report cycle — parallel sensor warm-up</t>
        </is>
      </c>
      <c r="B5" s="27" t="n"/>
      <c r="C5" s="27" t="n"/>
      <c r="D5" s="28" t="n"/>
    </row>
    <row r="222">
      <c r="A222" s="8" t="inlineStr">
        <is>
          <t>N-read filter — mean of last N samples (typically 3–5)</t>
        </is>
      </c>
      <c r="B222" s="27" t="n"/>
      <c r="C222" s="27" t="n"/>
      <c r="D222" s="28" t="n"/>
    </row>
    <row r="389">
      <c r="A389" s="8" t="inlineStr">
        <is>
          <t>Legend</t>
        </is>
      </c>
      <c r="B389" s="27" t="n"/>
      <c r="C389" s="27" t="n"/>
      <c r="D389" s="28" t="n"/>
    </row>
    <row r="390">
      <c r="A390" s="21" t="n"/>
      <c r="B390" s="10" t="inlineStr">
        <is>
          <t>MCU low-power window (STOP3 / RTC wake)</t>
        </is>
      </c>
      <c r="C390" s="27" t="n"/>
      <c r="D390" s="28" t="n"/>
    </row>
    <row r="391">
      <c r="A391" s="23" t="n"/>
      <c r="B391" s="10" t="inlineStr">
        <is>
          <t>Sensor sleep or rail off</t>
        </is>
      </c>
      <c r="C391" s="27" t="n"/>
      <c r="D391" s="28" t="n"/>
    </row>
    <row r="392">
      <c r="A392" s="24" t="n"/>
      <c r="B392" s="10" t="inlineStr">
        <is>
          <t>LoRa transmit burst</t>
        </is>
      </c>
      <c r="C392" s="27" t="n"/>
      <c r="D392" s="28" t="n"/>
    </row>
    <row r="393">
      <c r="A393" s="25" t="n"/>
      <c r="B393" s="10" t="inlineStr">
        <is>
          <t>N-read filter (mean of last N samples, typically 3–5)</t>
        </is>
      </c>
      <c r="C393" s="27" t="n"/>
      <c r="D393" s="28" t="n"/>
    </row>
    <row r="395">
      <c r="A395" s="8" t="inlineStr">
        <is>
          <t>Report cycle steps</t>
        </is>
      </c>
      <c r="B395" s="27" t="n"/>
      <c r="C395" s="27" t="n"/>
      <c r="D395" s="28" t="n"/>
    </row>
    <row r="396">
      <c r="A396" s="9" t="inlineStr">
        <is>
          <t>Step</t>
        </is>
      </c>
      <c r="B396" s="9" t="inlineStr">
        <is>
          <t>Action</t>
        </is>
      </c>
      <c r="C396" s="9" t="inlineStr">
        <is>
          <t>Branch</t>
        </is>
      </c>
      <c r="D396" s="9" t="inlineStr">
        <is>
          <t>Notes</t>
        </is>
      </c>
    </row>
    <row r="397">
      <c r="A397" s="10" t="inlineStr">
        <is>
          <t>1</t>
        </is>
      </c>
      <c r="B397" s="10" t="inlineStr">
        <is>
          <t>RTC alarm / report due</t>
        </is>
      </c>
      <c r="C397" s="10" t="inlineStr">
        <is>
          <t>—</t>
        </is>
      </c>
      <c r="D397" s="10" t="inlineStr">
        <is>
          <t>Wake from STOP3 on interval</t>
        </is>
      </c>
    </row>
    <row r="398">
      <c r="A398" s="10" t="inlineStr">
        <is>
          <t>2</t>
        </is>
      </c>
      <c r="B398" s="10" t="inlineStr">
        <is>
          <t>Wake MCU + radio</t>
        </is>
      </c>
      <c r="C398" s="10" t="inlineStr">
        <is>
          <t>—</t>
        </is>
      </c>
      <c r="D398" s="10" t="inlineStr">
        <is>
          <t>RA-08 exits low-power mode</t>
        </is>
      </c>
    </row>
    <row r="399">
      <c r="A399" s="10" t="inlineStr">
        <is>
          <t>3</t>
        </is>
      </c>
      <c r="B399" s="10" t="inlineStr">
        <is>
          <t>Start STCC4 first (slow)</t>
        </is>
      </c>
      <c r="C399" s="10" t="inlineStr">
        <is>
          <t>—</t>
        </is>
      </c>
      <c r="D399" s="10" t="inlineStr">
        <is>
          <t>exit_sleep 5 ms + measure_single_shot — 500 ms conversion begins</t>
        </is>
      </c>
    </row>
    <row r="400">
      <c r="A400" s="10" t="inlineStr">
        <is>
          <t>4</t>
        </is>
      </c>
      <c r="B400" s="10" t="inlineStr">
        <is>
          <t>Parallel fast sensors</t>
        </is>
      </c>
      <c r="C400" s="10" t="inlineStr">
        <is>
          <t>—</t>
        </is>
      </c>
      <c r="D400" s="10" t="inlineStr">
        <is>
          <t>While CO₂ converts: SHT40 ~20 ms, SGP30 ~40 ms, BH1620 ~10 ms</t>
        </is>
      </c>
    </row>
    <row r="401">
      <c r="A401" s="10" t="inlineStr">
        <is>
          <t>5</t>
        </is>
      </c>
      <c r="B401" s="10" t="inlineStr">
        <is>
          <t>Wait for CO₂ ready</t>
        </is>
      </c>
      <c r="C401" s="10" t="inlineStr">
        <is>
          <t>—</t>
        </is>
      </c>
      <c r="D401" s="10" t="inlineStr">
        <is>
          <t>STOP3 sleep ~440 ms remaining — not busy-wait</t>
        </is>
      </c>
    </row>
    <row r="402">
      <c r="A402" s="10" t="inlineStr">
        <is>
          <t>6</t>
        </is>
      </c>
      <c r="B402" s="10" t="inlineStr">
        <is>
          <t>STCC4 read + sleep</t>
        </is>
      </c>
      <c r="C402" s="10" t="inlineStr">
        <is>
          <t>—</t>
        </is>
      </c>
      <c r="D402" s="10" t="inlineStr">
        <is>
          <t>read_measurement then enter_sleep_mode (~1 µA)</t>
        </is>
      </c>
    </row>
    <row r="403">
      <c r="A403" s="10" t="inlineStr">
        <is>
          <t>7</t>
        </is>
      </c>
      <c r="B403" s="10" t="inlineStr">
        <is>
          <t>Push to N-sample buffers</t>
        </is>
      </c>
      <c r="C403" s="10" t="inlineStr">
        <is>
          <t>—</t>
        </is>
      </c>
      <c r="D403" s="10" t="inlineStr">
        <is>
          <t>Ring buffer depth N (typically 3–5) per channel</t>
        </is>
      </c>
    </row>
    <row r="404">
      <c r="A404" s="10" t="inlineStr">
        <is>
          <t>8</t>
        </is>
      </c>
      <c r="B404" s="10" t="inlineStr">
        <is>
          <t>Compute filtered mean</t>
        </is>
      </c>
      <c r="C404" s="10" t="inlineStr">
        <is>
          <t>—</t>
        </is>
      </c>
      <c r="D404" s="10" t="inlineStr">
        <is>
          <t>avg = sum(last N reads) / N — no extra sensor reads</t>
        </is>
      </c>
    </row>
    <row r="405">
      <c r="A405" s="10" t="inlineStr">
        <is>
          <t>9</t>
        </is>
      </c>
      <c r="B405" s="10" t="inlineStr">
        <is>
          <t>Pack + LoRa TX</t>
        </is>
      </c>
      <c r="C405" s="10" t="inlineStr">
        <is>
          <t>—</t>
        </is>
      </c>
      <c r="D405" s="10" t="inlineStr">
        <is>
          <t>19-byte payload with filtered values; 52 ms on-air</t>
        </is>
      </c>
    </row>
    <row r="406">
      <c r="A406" s="10" t="inlineStr">
        <is>
          <t>10</t>
        </is>
      </c>
      <c r="B406" s="10" t="inlineStr">
        <is>
          <t>Disable rails + STOP3</t>
        </is>
      </c>
      <c r="C406" s="10" t="inlineStr">
        <is>
          <t>—</t>
        </is>
      </c>
      <c r="D406" s="10" t="inlineStr">
        <is>
          <t>Until next RTC interval</t>
        </is>
      </c>
    </row>
    <row r="408">
      <c r="A408" s="8" t="inlineStr">
        <is>
          <t>N-read filter steps</t>
        </is>
      </c>
      <c r="B408" s="27" t="n"/>
      <c r="C408" s="27" t="n"/>
      <c r="D408" s="28" t="n"/>
    </row>
    <row r="409">
      <c r="A409" s="9" t="inlineStr">
        <is>
          <t>Step</t>
        </is>
      </c>
      <c r="B409" s="9" t="inlineStr">
        <is>
          <t>Action</t>
        </is>
      </c>
      <c r="C409" s="9" t="inlineStr">
        <is>
          <t>Branch</t>
        </is>
      </c>
      <c r="D409" s="9" t="inlineStr">
        <is>
          <t>Notes</t>
        </is>
      </c>
    </row>
    <row r="410">
      <c r="A410" s="10" t="inlineStr">
        <is>
          <t>1</t>
        </is>
      </c>
      <c r="B410" s="10" t="inlineStr">
        <is>
          <t>Raw reads complete</t>
        </is>
      </c>
      <c r="C410" s="10" t="inlineStr">
        <is>
          <t>—</t>
        </is>
      </c>
      <c r="D410" s="10" t="inlineStr">
        <is>
          <t>One sample per channel per report cycle</t>
        </is>
      </c>
    </row>
    <row r="411">
      <c r="A411" s="10" t="inlineStr">
        <is>
          <t>2</t>
        </is>
      </c>
      <c r="B411" s="10" t="inlineStr">
        <is>
          <t>Write ring buffer</t>
        </is>
      </c>
      <c r="C411" s="10" t="inlineStr">
        <is>
          <t>—</t>
        </is>
      </c>
      <c r="D411" s="10" t="inlineStr">
        <is>
          <t>buf[k] = raw; k = index mod N (N typically 3–5)</t>
        </is>
      </c>
    </row>
    <row r="412">
      <c r="A412" s="10" t="inlineStr">
        <is>
          <t>3</t>
        </is>
      </c>
      <c r="B412" s="10" t="inlineStr">
        <is>
          <t>Advance index</t>
        </is>
      </c>
      <c r="C412" s="10" t="inlineStr">
        <is>
          <t>—</t>
        </is>
      </c>
      <c r="D412" s="10" t="inlineStr">
        <is>
          <t>sample_index++ wrap at N</t>
        </is>
      </c>
    </row>
    <row r="413">
      <c r="A413" s="10" t="inlineStr">
        <is>
          <t>4</t>
        </is>
      </c>
      <c r="B413" s="10" t="inlineStr">
        <is>
          <t>Buffer full?</t>
        </is>
      </c>
      <c r="C413" s="10" t="inlineStr">
        <is>
          <t>—</t>
        </is>
      </c>
      <c r="D413" s="10" t="inlineStr">
        <is>
          <t>If count &lt; N use partial mean or wait (default N=5)</t>
        </is>
      </c>
    </row>
    <row r="414">
      <c r="A414" s="10" t="inlineStr">
        <is>
          <t>5</t>
        </is>
      </c>
      <c r="B414" s="10" t="inlineStr">
        <is>
          <t>Compute mean</t>
        </is>
      </c>
      <c r="C414" s="10" t="inlineStr">
        <is>
          <t>—</t>
        </is>
      </c>
      <c r="D414" s="10" t="inlineStr">
        <is>
          <t>filtered = arithmetic mean of buf[0..N-1] per channel</t>
        </is>
      </c>
    </row>
    <row r="415">
      <c r="A415" s="10" t="inlineStr">
        <is>
          <t>6</t>
        </is>
      </c>
      <c r="B415" s="10" t="inlineStr">
        <is>
          <t>Pack + TX</t>
        </is>
      </c>
      <c r="C415" s="10" t="inlineStr">
        <is>
          <t>—</t>
        </is>
      </c>
      <c r="D415" s="10" t="inlineStr">
        <is>
          <t>LoRa uplink uses filtered T · RH · TVOC · lux · CO₂</t>
        </is>
      </c>
    </row>
  </sheetData>
  <mergeCells count="11">
    <mergeCell ref="A1:D1"/>
    <mergeCell ref="B393:D393"/>
    <mergeCell ref="B392:D392"/>
    <mergeCell ref="A5:D5"/>
    <mergeCell ref="A408:D408"/>
    <mergeCell ref="A389:D389"/>
    <mergeCell ref="A395:D395"/>
    <mergeCell ref="A3:D3"/>
    <mergeCell ref="B390:D390"/>
    <mergeCell ref="B391:D391"/>
    <mergeCell ref="A222:D2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28" customWidth="1" min="4" max="4"/>
    <col width="32" customWidth="1" min="5" max="5"/>
    <col width="36" customWidth="1" min="6" max="6"/>
    <col width="28" customWidth="1" min="7" max="7"/>
    <col width="10" customWidth="1" min="8" max="8"/>
  </cols>
  <sheetData>
    <row r="1">
      <c r="A1" s="8" t="inlineStr">
        <is>
          <t>Solar Sensor Rev2 — Firmware TODO (mandatory before ship)</t>
        </is>
      </c>
    </row>
    <row r="2">
      <c r="A2" s="20" t="inlineStr">
        <is>
          <t>Hardware supports automatic solar bring-up (BQ_EN, VBAT_OK, 0.22 F supercap). Current lora_myself_net firmware does not. Close every open task before calling firmware Rev2-ready. Detail: FIRMWARE_NEXT_STEPS.md · POWER_SYSTEM_ANALYSIS.md</t>
        </is>
      </c>
    </row>
    <row r="4">
      <c r="A4" s="9" t="inlineStr">
        <is>
          <t>Task</t>
        </is>
      </c>
      <c r="B4" s="9" t="inlineStr">
        <is>
          <t>Priority</t>
        </is>
      </c>
      <c r="C4" s="9" t="inlineStr">
        <is>
          <t>Category</t>
        </is>
      </c>
      <c r="D4" s="9" t="inlineStr">
        <is>
          <t>What to do</t>
        </is>
      </c>
      <c r="E4" s="9" t="inlineStr">
        <is>
          <t>Problem today</t>
        </is>
      </c>
      <c r="F4" s="9" t="inlineStr">
        <is>
          <t>Required action</t>
        </is>
      </c>
      <c r="G4" s="9" t="inlineStr">
        <is>
          <t>Files</t>
        </is>
      </c>
      <c r="H4" s="9" t="inlineStr">
        <is>
          <t>Status</t>
        </is>
      </c>
    </row>
    <row r="5">
      <c r="A5" s="29" t="inlineStr">
        <is>
          <t>FW-001</t>
        </is>
      </c>
      <c r="B5" s="29" t="inlineStr">
        <is>
          <t>P0</t>
        </is>
      </c>
      <c r="C5" s="10" t="inlineStr">
        <is>
          <t>Pinout</t>
        </is>
      </c>
      <c r="D5" s="10" t="inlineStr">
        <is>
          <t>Assign BQ_EN to an RA-08 GPIO</t>
        </is>
      </c>
      <c r="E5" s="10" t="inlineStr">
        <is>
          <t>BQ_EN exists on the schematic; firmware never drives it.</t>
        </is>
      </c>
      <c r="F5" s="10" t="inlineStr">
        <is>
          <t>Confirm which RA-08 pin connects to BQ_EN and the active level. Add CONFIG_BQ_EN_* to lora_config.h.</t>
        </is>
      </c>
      <c r="G5" s="10" t="inlineStr">
        <is>
          <t>lora_config.h · schematic Rev2</t>
        </is>
      </c>
      <c r="H5" s="30" t="inlineStr">
        <is>
          <t>Open</t>
        </is>
      </c>
    </row>
    <row r="6">
      <c r="A6" s="29" t="inlineStr">
        <is>
          <t>FW-002</t>
        </is>
      </c>
      <c r="B6" s="29" t="inlineStr">
        <is>
          <t>P0</t>
        </is>
      </c>
      <c r="C6" s="10" t="inlineStr">
        <is>
          <t>Pinout</t>
        </is>
      </c>
      <c r="D6" s="10" t="inlineStr">
        <is>
          <t>Assign VBAT_OK to an RA-08 GPIO</t>
        </is>
      </c>
      <c r="E6" s="10" t="inlineStr">
        <is>
          <t>BQ25505 OK output is not read in firmware.</t>
        </is>
      </c>
      <c r="F6" s="10" t="inlineStr">
        <is>
          <t>Confirm VBAT_OK pin and polarity. Add CONFIG_VBAT_OK_* to lora_config.h.</t>
        </is>
      </c>
      <c r="G6" s="10" t="inlineStr">
        <is>
          <t>lora_config.h · schematic Rev2</t>
        </is>
      </c>
      <c r="H6" s="30" t="inlineStr">
        <is>
          <t>Open</t>
        </is>
      </c>
    </row>
    <row r="7">
      <c r="A7" s="29" t="inlineStr">
        <is>
          <t>FW-003</t>
        </is>
      </c>
      <c r="B7" s="29" t="inlineStr">
        <is>
          <t>P0</t>
        </is>
      </c>
      <c r="C7" s="10" t="inlineStr">
        <is>
          <t>Power</t>
        </is>
      </c>
      <c r="D7" s="10" t="inlineStr">
        <is>
          <t>Implement the power manager state machine</t>
        </is>
      </c>
      <c r="E7" s="10" t="inlineStr">
        <is>
          <t>No bring-up logic: boot goes straight to sensors and LoRa.</t>
        </is>
      </c>
      <c r="F7" s="10" t="inlineStr">
        <is>
          <t>Add states: COLD_START → CHARGE_ONLY → READY → REPORT → TX_BLOCKED. One module, explicit transitions.</t>
        </is>
      </c>
      <c r="G7" s="10" t="inlineStr">
        <is>
          <t>power_manager.c · power_manager.h</t>
        </is>
      </c>
      <c r="H7" s="30" t="inlineStr">
        <is>
          <t>Open</t>
        </is>
      </c>
    </row>
    <row r="8">
      <c r="A8" s="29" t="inlineStr">
        <is>
          <t>FW-004</t>
        </is>
      </c>
      <c r="B8" s="29" t="inlineStr">
        <is>
          <t>P0</t>
        </is>
      </c>
      <c r="C8" s="10" t="inlineStr">
        <is>
          <t>Power</t>
        </is>
      </c>
      <c r="D8" s="10" t="inlineStr">
        <is>
          <t>Drive BQ_EN during charge-only boot</t>
        </is>
      </c>
      <c r="E8" s="10" t="inlineStr">
        <is>
          <t>Harvester enable is floating or default; 0.22 F supercap may never charge correctly.</t>
        </is>
      </c>
      <c r="F8" s="10" t="inlineStr">
        <is>
          <t>Assert BQ_EN after first MCU wake. Keep all sensor enables off until vcap reaches target.</t>
        </is>
      </c>
      <c r="G8" s="10" t="inlineStr">
        <is>
          <t>power_manager.c · lora_driver.c</t>
        </is>
      </c>
      <c r="H8" s="30" t="inlineStr">
        <is>
          <t>Open</t>
        </is>
      </c>
    </row>
    <row r="9">
      <c r="A9" s="29" t="inlineStr">
        <is>
          <t>FW-005</t>
        </is>
      </c>
      <c r="B9" s="29" t="inlineStr">
        <is>
          <t>P0</t>
        </is>
      </c>
      <c r="C9" s="10" t="inlineStr">
        <is>
          <t>Power</t>
        </is>
      </c>
      <c r="D9" s="10" t="inlineStr">
        <is>
          <t>Define supercap voltage thresholds on the bench</t>
        </is>
      </c>
      <c r="E9" s="10" t="inlineStr">
        <is>
          <t>No VCAP_MIN_* or charge target in code.</t>
        </is>
      </c>
      <c r="F9" s="10" t="inlineStr">
        <is>
          <t>Measure droop during LoRa TX and sensor bursts. Set VCAP_MIN_TX_mV, VCAP_MIN_SENSORS_mV, VCAP_CHARGE_TARGET_mV in lora_config.h.</t>
        </is>
      </c>
      <c r="G9" s="10" t="inlineStr">
        <is>
          <t>lora_config.h · adc_monitor.c</t>
        </is>
      </c>
      <c r="H9" s="30" t="inlineStr">
        <is>
          <t>Open</t>
        </is>
      </c>
    </row>
    <row r="10">
      <c r="A10" s="29" t="inlineStr">
        <is>
          <t>FW-006</t>
        </is>
      </c>
      <c r="B10" s="29" t="inlineStr">
        <is>
          <t>P0</t>
        </is>
      </c>
      <c r="C10" s="10" t="inlineStr">
        <is>
          <t>Power</t>
        </is>
      </c>
      <c r="D10" s="10" t="inlineStr">
        <is>
          <t>Block LoRa TX when supercap is too low</t>
        </is>
      </c>
      <c r="E10" s="10" t="inlineStr">
        <is>
          <t>Radio transmits even when vcap cannot support 52 ms @ ~60 mA.</t>
        </is>
      </c>
      <c r="F10" s="10" t="inlineStr">
        <is>
          <t>Skip or defer TX when vcap &lt; VCAP_MIN_TX_mV. Retry on next wake when voltage recovers.</t>
        </is>
      </c>
      <c r="G10" s="10" t="inlineStr">
        <is>
          <t>lora_driver.c</t>
        </is>
      </c>
      <c r="H10" s="30" t="inlineStr">
        <is>
          <t>Open</t>
        </is>
      </c>
    </row>
    <row r="11">
      <c r="A11" s="29" t="inlineStr">
        <is>
          <t>FW-007</t>
        </is>
      </c>
      <c r="B11" s="29" t="inlineStr">
        <is>
          <t>P0</t>
        </is>
      </c>
      <c r="C11" s="10" t="inlineStr">
        <is>
          <t>Power</t>
        </is>
      </c>
      <c r="D11" s="10" t="inlineStr">
        <is>
          <t>Block sensor rails until POWER_READY</t>
        </is>
      </c>
      <c r="E11" s="10" t="inlineStr">
        <is>
          <t>PA5/6/7/12 enabled at boot; STCC4 and SGP30 load a flat supercap.</t>
        </is>
      </c>
      <c r="F11" s="10" t="inlineStr">
        <is>
          <t>Do not enable CO2_EN, HUM_EN, TVOC_EN, or BH1620_EN until vcap &gt;= VCAP_MIN_SENSORS_mV.</t>
        </is>
      </c>
      <c r="G11" s="10" t="inlineStr">
        <is>
          <t>lora_driver.c · sensor drivers</t>
        </is>
      </c>
      <c r="H11" s="30" t="inlineStr">
        <is>
          <t>Open</t>
        </is>
      </c>
    </row>
    <row r="12">
      <c r="A12" s="29" t="inlineStr">
        <is>
          <t>FW-008</t>
        </is>
      </c>
      <c r="B12" s="29" t="inlineStr">
        <is>
          <t>P0</t>
        </is>
      </c>
      <c r="C12" s="10" t="inlineStr">
        <is>
          <t>Power</t>
        </is>
      </c>
      <c r="D12" s="10" t="inlineStr">
        <is>
          <t>Remove unconditional startup sensor report</t>
        </is>
      </c>
      <c r="E12" s="10" t="inlineStr">
        <is>
          <t>node_send_sensor_report("startup") runs before charge bring-up completes.</t>
        </is>
      </c>
      <c r="F12" s="10" t="inlineStr">
        <is>
          <t>Guard first report behind charge target + boot path (FW-003). No LoRa TX during CHARGE_ONLY.</t>
        </is>
      </c>
      <c r="G12" s="10" t="inlineStr">
        <is>
          <t>lora_driver.c</t>
        </is>
      </c>
      <c r="H12" s="30" t="inlineStr">
        <is>
          <t>Open</t>
        </is>
      </c>
    </row>
    <row r="13">
      <c r="A13" s="29" t="inlineStr">
        <is>
          <t>FW-009</t>
        </is>
      </c>
      <c r="B13" s="29" t="inlineStr">
        <is>
          <t>P1</t>
        </is>
      </c>
      <c r="C13" s="10" t="inlineStr">
        <is>
          <t>Power</t>
        </is>
      </c>
      <c r="D13" s="10" t="inlineStr">
        <is>
          <t>Re-enable STOP3 between report cycles</t>
        </is>
      </c>
      <c r="E13" s="10" t="inlineStr">
        <is>
          <t>NODE_STOP3_ENABLE is 0 (debug). Sleep budget is wrong.</t>
        </is>
      </c>
      <c r="F13" s="10" t="inlineStr">
        <is>
          <t>Set NODE_STOP3_ENABLE to 1 after RTC wake path is verified.</t>
        </is>
      </c>
      <c r="G13" s="10" t="inlineStr">
        <is>
          <t>lora_driver.c</t>
        </is>
      </c>
      <c r="H13" s="30" t="inlineStr">
        <is>
          <t>Open</t>
        </is>
      </c>
    </row>
    <row r="14">
      <c r="A14" s="29" t="inlineStr">
        <is>
          <t>FW-010</t>
        </is>
      </c>
      <c r="B14" s="29" t="inlineStr">
        <is>
          <t>P0</t>
        </is>
      </c>
      <c r="C14" s="10" t="inlineStr">
        <is>
          <t>STCC4</t>
        </is>
      </c>
      <c r="D14" s="10" t="inlineStr">
        <is>
          <t>Replace continuous mode with single-shot + sleep</t>
        </is>
      </c>
      <c r="E14" s="10" t="inlineStr">
        <is>
          <t>stcc4.c uses START_CONTINUOUS and a 5200 ms first-sample wait.</t>
        </is>
      </c>
      <c r="F14" s="10" t="inlineStr">
        <is>
          <t>Use Sensirion commands: exit_sleep (0x3650), measure_single_shot (0x219D), read_measurement (0xEC05), enter_sleep_mode. Target ~510 ms per sample.</t>
        </is>
      </c>
      <c r="G14" s="10" t="inlineStr">
        <is>
          <t>stcc4.c · stcc4.h</t>
        </is>
      </c>
      <c r="H14" s="30" t="inlineStr">
        <is>
          <t>Open</t>
        </is>
      </c>
    </row>
    <row r="15">
      <c r="A15" s="29" t="inlineStr">
        <is>
          <t>FW-011</t>
        </is>
      </c>
      <c r="B15" s="29" t="inlineStr">
        <is>
          <t>P0</t>
        </is>
      </c>
      <c r="C15" s="10" t="inlineStr">
        <is>
          <t>Sensors</t>
        </is>
      </c>
      <c r="D15" s="10" t="inlineStr">
        <is>
          <t>Read fast sensors in parallel with CO₂ conversion</t>
        </is>
      </c>
      <c r="E15" s="10" t="inlineStr">
        <is>
          <t>Report path is sequential: SHT → vcap → STCC4 → SGP30 → BH1620.</t>
        </is>
      </c>
      <c r="F15" s="10" t="inlineStr">
        <is>
          <t>Start STCC4 single-shot first (~510 ms). During conversion, read SHT40 (~20 ms), SGP30 (~40 ms), BH1620 (~10 ms).</t>
        </is>
      </c>
      <c r="G15" s="10" t="inlineStr">
        <is>
          <t>lora_driver.c</t>
        </is>
      </c>
      <c r="H15" s="30" t="inlineStr">
        <is>
          <t>Open</t>
        </is>
      </c>
    </row>
    <row r="16">
      <c r="A16" s="29" t="inlineStr">
        <is>
          <t>FW-012</t>
        </is>
      </c>
      <c r="B16" s="29" t="inlineStr">
        <is>
          <t>P1</t>
        </is>
      </c>
      <c r="C16" s="10" t="inlineStr">
        <is>
          <t>Sensors</t>
        </is>
      </c>
      <c r="D16" s="10" t="inlineStr">
        <is>
          <t>Use STOP3 while waiting for CO₂ (~440 ms)</t>
        </is>
      </c>
      <c r="E16" s="10" t="inlineStr">
        <is>
          <t>Firmware likely busy-waits or blocks the MCU during conversion.</t>
        </is>
      </c>
      <c r="F16" s="10" t="inlineStr">
        <is>
          <t>Enter STOP3 after starting STCC4; wake on RTC/timer when conversion completes. Do not spin.</t>
        </is>
      </c>
      <c r="G16" s="10" t="inlineStr">
        <is>
          <t>lora_driver.c</t>
        </is>
      </c>
      <c r="H16" s="30" t="inlineStr">
        <is>
          <t>Open</t>
        </is>
      </c>
    </row>
    <row r="17">
      <c r="A17" s="29" t="inlineStr">
        <is>
          <t>FW-013</t>
        </is>
      </c>
      <c r="B17" s="29" t="inlineStr">
        <is>
          <t>P0</t>
        </is>
      </c>
      <c r="C17" s="10" t="inlineStr">
        <is>
          <t>Filter</t>
        </is>
      </c>
      <c r="D17" s="10" t="inlineStr">
        <is>
          <t>Implement N-sample ring buffer per channel</t>
        </is>
      </c>
      <c r="E17" s="10" t="inlineStr">
        <is>
          <t>No filtering; each report sends the latest raw reading.</t>
        </is>
      </c>
      <c r="F17" s="10" t="inlineStr">
        <is>
          <t>Ring buffer depth N (default 5). filtered = mean(buf[0..N-1]). No extra sensor reads for filtering.</t>
        </is>
      </c>
      <c r="G17" s="10" t="inlineStr">
        <is>
          <t>sensor_filter.c · lora_driver.c</t>
        </is>
      </c>
      <c r="H17" s="30" t="inlineStr">
        <is>
          <t>Open</t>
        </is>
      </c>
    </row>
    <row r="18">
      <c r="A18" s="29" t="inlineStr">
        <is>
          <t>FW-014</t>
        </is>
      </c>
      <c r="B18" s="29" t="inlineStr">
        <is>
          <t>P0</t>
        </is>
      </c>
      <c r="C18" s="10" t="inlineStr">
        <is>
          <t>Payload</t>
        </is>
      </c>
      <c r="D18" s="10" t="inlineStr">
        <is>
          <t>Send filtered values in the 19-byte LoRa packet</t>
        </is>
      </c>
      <c r="E18" s="10" t="inlineStr">
        <is>
          <t>Payload uses instantaneous readings.</t>
        </is>
      </c>
      <c r="F18" s="10" t="inlineStr">
        <is>
          <t>Bytes 0–13: filtered T, RH, TVOC, lux, vcap (raw mV OK), CO₂. See Sensors.html payload map.</t>
        </is>
      </c>
      <c r="G18" s="10" t="inlineStr">
        <is>
          <t>lora_driver.c</t>
        </is>
      </c>
      <c r="H18" s="30" t="inlineStr">
        <is>
          <t>Open</t>
        </is>
      </c>
    </row>
    <row r="19">
      <c r="A19" s="29" t="inlineStr">
        <is>
          <t>FW-015</t>
        </is>
      </c>
      <c r="B19" s="29" t="inlineStr">
        <is>
          <t>P1</t>
        </is>
      </c>
      <c r="C19" s="10" t="inlineStr">
        <is>
          <t>Flowchart</t>
        </is>
      </c>
      <c r="D19" s="10" t="inlineStr">
        <is>
          <t>Add cold-boot branch to power_optimization_flow.mmd</t>
        </is>
      </c>
      <c r="E19" s="10" t="inlineStr">
        <is>
          <t>Flowchart starts at RTC alarm; first power-on path is missing.</t>
        </is>
      </c>
      <c r="F19" s="10" t="inlineStr">
        <is>
          <t>Add: cold boot → vcap check → BQ_EN charge loop → STCC4 1000 ms boot → join steady-state report cycle.</t>
        </is>
      </c>
      <c r="G19" s="10" t="inlineStr">
        <is>
          <t>Docs/power_optimization_flow.mmd</t>
        </is>
      </c>
      <c r="H19" s="30" t="inlineStr">
        <is>
          <t>Open</t>
        </is>
      </c>
    </row>
    <row r="20">
      <c r="A20" s="29" t="inlineStr">
        <is>
          <t>FW-016</t>
        </is>
      </c>
      <c r="B20" s="29" t="inlineStr">
        <is>
          <t>P1</t>
        </is>
      </c>
      <c r="C20" s="10" t="inlineStr">
        <is>
          <t>Flowchart</t>
        </is>
      </c>
      <c r="D20" s="10" t="inlineStr">
        <is>
          <t>Regenerate flowchart PNGs and HTML after edits</t>
        </is>
      </c>
      <c r="E20" s="10" t="inlineStr">
        <is>
          <t>Diagrams may not match required firmware behavior.</t>
        </is>
      </c>
      <c r="F20" s="10" t="inlineStr">
        <is>
          <t>Run: python Docs/build_energy_budget_sheet.py. Optionally: mmdc on .mmd files in Docs/.</t>
        </is>
      </c>
      <c r="G20" s="10" t="inlineStr">
        <is>
          <t>Docs/build_energy_budget_sheet.py</t>
        </is>
      </c>
      <c r="H20" s="30" t="inlineStr">
        <is>
          <t>Open</t>
        </is>
      </c>
    </row>
    <row r="21">
      <c r="A21" s="29" t="inlineStr">
        <is>
          <t>FW-017</t>
        </is>
      </c>
      <c r="B21" s="29" t="inlineStr">
        <is>
          <t>P0</t>
        </is>
      </c>
      <c r="C21" s="10" t="inlineStr">
        <is>
          <t>Test</t>
        </is>
      </c>
      <c r="D21" s="10" t="inlineStr">
        <is>
          <t>Verify out-of-box boot from discharged 0.22 F supercap</t>
        </is>
      </c>
      <c r="E21" s="10" t="inlineStr">
        <is>
          <t>Product requirement: no customer pre-charge or install tricks.</t>
        </is>
      </c>
      <c r="F21" s="10" t="inlineStr">
        <is>
          <t>Ship-test condition: supercap at 0 V, indoor light. Unit must charge, join, and report without user steps.</t>
        </is>
      </c>
      <c r="G21" s="10" t="inlineStr">
        <is>
          <t>Bench test procedure</t>
        </is>
      </c>
      <c r="H21" s="30" t="inlineStr">
        <is>
          <t>Open</t>
        </is>
      </c>
    </row>
    <row r="22">
      <c r="A22" s="29" t="inlineStr">
        <is>
          <t>FW-018</t>
        </is>
      </c>
      <c r="B22" s="29" t="inlineStr">
        <is>
          <t>P0</t>
        </is>
      </c>
      <c r="C22" s="10" t="inlineStr">
        <is>
          <t>Test</t>
        </is>
      </c>
      <c r="D22" s="10" t="inlineStr">
        <is>
          <t>Verify BQ_EN raises vcap before first TX</t>
        </is>
      </c>
      <c r="E22" s="10" t="inlineStr">
        <is>
          <t>Charge path not validated.</t>
        </is>
      </c>
      <c r="F22" s="10" t="inlineStr">
        <is>
          <t>Log or scope vcap vs BQ_EN. First TX only after threshold met.</t>
        </is>
      </c>
      <c r="G22" s="10" t="inlineStr">
        <is>
          <t>Bench test procedure</t>
        </is>
      </c>
      <c r="H22" s="30" t="inlineStr">
        <is>
          <t>Open</t>
        </is>
      </c>
    </row>
    <row r="23">
      <c r="A23" s="29" t="inlineStr">
        <is>
          <t>FW-019</t>
        </is>
      </c>
      <c r="B23" s="29" t="inlineStr">
        <is>
          <t>P1</t>
        </is>
      </c>
      <c r="C23" s="10" t="inlineStr">
        <is>
          <t>Test</t>
        </is>
      </c>
      <c r="D23" s="10" t="inlineStr">
        <is>
          <t>Measure STOP3 sleep current vs energy budget</t>
        </is>
      </c>
      <c r="E23" s="10" t="inlineStr">
        <is>
          <t>STOP3 disabled; budget assumes ~1.3 µA sleep.</t>
        </is>
      </c>
      <c r="F23" s="10" t="inlineStr">
        <is>
          <t>Measure MCU sleep with all sensor rails off. Compare to Energy Budget sheet.</t>
        </is>
      </c>
      <c r="G23" s="10" t="inlineStr">
        <is>
          <t>Bench test procedure</t>
        </is>
      </c>
      <c r="H23" s="30" t="inlineStr">
        <is>
          <t>Open</t>
        </is>
      </c>
    </row>
    <row r="24">
      <c r="A24" s="29" t="inlineStr">
        <is>
          <t>FW-020</t>
        </is>
      </c>
      <c r="B24" s="29" t="inlineStr">
        <is>
          <t>P1</t>
        </is>
      </c>
      <c r="C24" s="10" t="inlineStr">
        <is>
          <t>Release</t>
        </is>
      </c>
      <c r="D24" s="10" t="inlineStr">
        <is>
          <t>Confirm CONFIG_NODE_TX_SENSOR_BYPASS is 0 in release builds</t>
        </is>
      </c>
      <c r="E24" s="10" t="inlineStr">
        <is>
          <t>Bypass flag exists for radio-only debug.</t>
        </is>
      </c>
      <c r="F24" s="10" t="inlineStr">
        <is>
          <t>Release build must use CONFIG_NODE_TX_SENSOR_BYPASS 0.</t>
        </is>
      </c>
      <c r="G24" s="10" t="inlineStr">
        <is>
          <t>lora_config.h</t>
        </is>
      </c>
      <c r="H24" s="30" t="inlineStr">
        <is>
          <t>Open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2026-05-24T11:54:34Z</dcterms:created>
  <dcterms:modified xsi:type="dcterms:W3CDTF">2026-05-24T17:37:12Z</dcterms:modified>
</cp:coreProperties>
</file>